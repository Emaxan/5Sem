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0" yWindow="0" windowWidth="20490" windowHeight="7755"/>
  </bookViews>
  <sheets>
    <sheet name="Лист1" sheetId="1" r:id="rId1"/>
    <sheet name="Лист2" sheetId="2" r:id="rId2"/>
    <sheet name="Лист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H35" i="1" l="1"/>
  <c r="G35" i="1"/>
  <c r="C35" i="1"/>
  <c r="B35" i="1"/>
  <c r="M3" i="1"/>
  <c r="B3" i="1"/>
  <c r="F66" i="1"/>
  <c r="F65" i="1"/>
  <c r="D65" i="1"/>
  <c r="F28" i="1"/>
  <c r="F27" i="1"/>
  <c r="D27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B12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B4" i="1"/>
  <c r="L41" i="1" l="1"/>
  <c r="R11" i="1" l="1"/>
  <c r="L64" i="1" l="1"/>
  <c r="C65" i="1" s="1"/>
  <c r="L63" i="1"/>
  <c r="B65" i="1" s="1"/>
  <c r="E65" i="1" l="1"/>
  <c r="H65" i="1" l="1"/>
  <c r="G65" i="1"/>
  <c r="B66" i="1" s="1"/>
  <c r="D66" i="1" s="1"/>
  <c r="C66" i="1" l="1"/>
  <c r="E66" i="1" l="1"/>
  <c r="G66" i="1" l="1"/>
  <c r="H66" i="1"/>
  <c r="C67" i="1" s="1"/>
  <c r="F67" i="1" s="1"/>
  <c r="B67" i="1" l="1"/>
  <c r="D67" i="1" l="1"/>
  <c r="E67" i="1" s="1"/>
  <c r="G67" i="1" l="1"/>
  <c r="H67" i="1"/>
  <c r="C68" i="1"/>
  <c r="F68" i="1" s="1"/>
  <c r="B68" i="1" l="1"/>
  <c r="D68" i="1" s="1"/>
  <c r="E68" i="1" s="1"/>
  <c r="H68" i="1" s="1"/>
  <c r="G68" i="1" l="1"/>
  <c r="B69" i="1" s="1"/>
  <c r="D69" i="1" s="1"/>
  <c r="C69" i="1"/>
  <c r="F69" i="1" s="1"/>
  <c r="E69" i="1" l="1"/>
  <c r="H69" i="1" l="1"/>
  <c r="G69" i="1"/>
  <c r="B70" i="1" s="1"/>
  <c r="D70" i="1" s="1"/>
  <c r="C70" i="1" l="1"/>
  <c r="F70" i="1" s="1"/>
  <c r="E70" i="1" l="1"/>
  <c r="G70" i="1" l="1"/>
  <c r="H70" i="1"/>
  <c r="C71" i="1" s="1"/>
  <c r="F71" i="1" s="1"/>
  <c r="B71" i="1"/>
  <c r="D71" i="1" s="1"/>
  <c r="E71" i="1" l="1"/>
  <c r="H71" i="1" l="1"/>
  <c r="G71" i="1"/>
  <c r="B72" i="1" s="1"/>
  <c r="D72" i="1" s="1"/>
  <c r="C72" i="1" l="1"/>
  <c r="F72" i="1" s="1"/>
  <c r="E72" i="1" l="1"/>
  <c r="G72" i="1" l="1"/>
  <c r="H72" i="1"/>
  <c r="B73" i="1" s="1"/>
  <c r="D73" i="1" s="1"/>
  <c r="C73" i="1"/>
  <c r="F73" i="1" s="1"/>
  <c r="E73" i="1" l="1"/>
  <c r="H73" i="1" l="1"/>
  <c r="G73" i="1"/>
  <c r="B74" i="1" s="1"/>
  <c r="D74" i="1" s="1"/>
  <c r="C74" i="1" l="1"/>
  <c r="F74" i="1" l="1"/>
  <c r="E74" i="1" s="1"/>
  <c r="H74" i="1" l="1"/>
  <c r="G74" i="1"/>
  <c r="C75" i="1"/>
  <c r="F75" i="1" l="1"/>
  <c r="B75" i="1"/>
  <c r="D75" i="1" s="1"/>
  <c r="E75" i="1" s="1"/>
  <c r="H75" i="1" l="1"/>
  <c r="B76" i="1" s="1"/>
  <c r="D76" i="1" s="1"/>
  <c r="G75" i="1"/>
  <c r="C76" i="1" s="1"/>
  <c r="F76" i="1" s="1"/>
  <c r="E76" i="1" l="1"/>
  <c r="H76" i="1" s="1"/>
  <c r="C77" i="1" l="1"/>
  <c r="F77" i="1" s="1"/>
  <c r="G76" i="1"/>
  <c r="B77" i="1" s="1"/>
  <c r="D77" i="1" s="1"/>
  <c r="E77" i="1" s="1"/>
  <c r="G77" i="1" s="1"/>
  <c r="H77" i="1" l="1"/>
  <c r="B78" i="1" s="1"/>
  <c r="D78" i="1" s="1"/>
  <c r="C78" i="1" l="1"/>
  <c r="F78" i="1" s="1"/>
  <c r="B43" i="1"/>
  <c r="C43" i="1"/>
  <c r="F43" i="1" l="1"/>
  <c r="D43" i="1"/>
  <c r="E43" i="1" s="1"/>
  <c r="H43" i="1" s="1"/>
  <c r="E78" i="1"/>
  <c r="G78" i="1" l="1"/>
  <c r="H78" i="1"/>
  <c r="C79" i="1" s="1"/>
  <c r="F79" i="1" s="1"/>
  <c r="B79" i="1"/>
  <c r="D79" i="1" s="1"/>
  <c r="G43" i="1"/>
  <c r="B44" i="1"/>
  <c r="D44" i="1" s="1"/>
  <c r="C44" i="1"/>
  <c r="F44" i="1" l="1"/>
  <c r="E44" i="1"/>
  <c r="H44" i="1" s="1"/>
  <c r="E79" i="1"/>
  <c r="G79" i="1" s="1"/>
  <c r="H79" i="1" l="1"/>
  <c r="G44" i="1"/>
  <c r="C45" i="1"/>
  <c r="B45" i="1"/>
  <c r="F45" i="1" l="1"/>
  <c r="D45" i="1"/>
  <c r="E45" i="1" s="1"/>
  <c r="H45" i="1" s="1"/>
  <c r="G45" i="1" l="1"/>
  <c r="C46" i="1"/>
  <c r="B46" i="1"/>
  <c r="F46" i="1" l="1"/>
  <c r="D46" i="1"/>
  <c r="E46" i="1" s="1"/>
  <c r="H46" i="1" s="1"/>
  <c r="G46" i="1" l="1"/>
  <c r="B47" i="1"/>
  <c r="D47" i="1" s="1"/>
  <c r="C47" i="1"/>
  <c r="F47" i="1" l="1"/>
  <c r="E47" i="1"/>
  <c r="G47" i="1" s="1"/>
  <c r="H47" i="1" l="1"/>
  <c r="B48" i="1"/>
  <c r="C48" i="1"/>
  <c r="F48" i="1" l="1"/>
  <c r="D48" i="1"/>
  <c r="E48" i="1" s="1"/>
  <c r="H48" i="1" s="1"/>
  <c r="G48" i="1" l="1"/>
  <c r="C49" i="1"/>
  <c r="B49" i="1"/>
  <c r="F49" i="1" l="1"/>
  <c r="D49" i="1"/>
  <c r="E49" i="1" s="1"/>
  <c r="H49" i="1" s="1"/>
  <c r="G49" i="1" l="1"/>
  <c r="B50" i="1"/>
  <c r="D50" i="1" s="1"/>
  <c r="C50" i="1"/>
  <c r="F50" i="1" l="1"/>
  <c r="E50" i="1" s="1"/>
  <c r="H50" i="1" s="1"/>
  <c r="G50" i="1" l="1"/>
  <c r="C51" i="1"/>
  <c r="B51" i="1"/>
  <c r="F51" i="1" l="1"/>
  <c r="D51" i="1"/>
  <c r="E51" i="1"/>
  <c r="H51" i="1" s="1"/>
  <c r="G51" i="1" l="1"/>
  <c r="B52" i="1"/>
  <c r="D52" i="1" s="1"/>
  <c r="C52" i="1"/>
  <c r="F52" i="1" l="1"/>
  <c r="E52" i="1" s="1"/>
  <c r="G52" i="1" s="1"/>
  <c r="H52" i="1" l="1"/>
  <c r="C53" i="1"/>
  <c r="B53" i="1"/>
  <c r="F53" i="1" l="1"/>
  <c r="D53" i="1"/>
  <c r="E53" i="1" s="1"/>
  <c r="G53" i="1" s="1"/>
  <c r="H53" i="1" l="1"/>
  <c r="B54" i="1"/>
  <c r="D54" i="1" s="1"/>
  <c r="C54" i="1"/>
  <c r="F54" i="1" l="1"/>
  <c r="E54" i="1" s="1"/>
  <c r="H54" i="1" l="1"/>
  <c r="G54" i="1"/>
  <c r="C55" i="1"/>
  <c r="B55" i="1"/>
  <c r="F55" i="1" l="1"/>
  <c r="D55" i="1"/>
  <c r="E55" i="1" s="1"/>
  <c r="G55" i="1" s="1"/>
  <c r="H55" i="1" l="1"/>
  <c r="B56" i="1"/>
  <c r="D56" i="1" s="1"/>
  <c r="C56" i="1"/>
  <c r="F56" i="1" l="1"/>
  <c r="E56" i="1" s="1"/>
  <c r="H56" i="1" l="1"/>
  <c r="G56" i="1"/>
  <c r="B6" i="1"/>
  <c r="C3" i="1" s="1"/>
  <c r="B22" i="1"/>
  <c r="C27" i="1" s="1"/>
  <c r="C57" i="1"/>
  <c r="B57" i="1"/>
  <c r="F57" i="1" l="1"/>
  <c r="D57" i="1"/>
  <c r="E57" i="1" s="1"/>
  <c r="G57" i="1" s="1"/>
  <c r="B27" i="1"/>
  <c r="E27" i="1" l="1"/>
  <c r="H57" i="1"/>
  <c r="G27" i="1" l="1"/>
  <c r="H27" i="1"/>
  <c r="B28" i="1" s="1"/>
  <c r="D28" i="1" s="1"/>
  <c r="C28" i="1" l="1"/>
  <c r="E28" i="1" s="1"/>
  <c r="H28" i="1" l="1"/>
  <c r="G28" i="1"/>
  <c r="B29" i="1" l="1"/>
  <c r="D29" i="1" s="1"/>
  <c r="C29" i="1"/>
  <c r="F29" i="1" s="1"/>
  <c r="E29" i="1" l="1"/>
  <c r="G29" i="1" l="1"/>
  <c r="H29" i="1"/>
  <c r="C30" i="1" l="1"/>
  <c r="F30" i="1" s="1"/>
  <c r="B30" i="1"/>
  <c r="D30" i="1" s="1"/>
  <c r="E30" i="1" l="1"/>
  <c r="H30" i="1" l="1"/>
  <c r="G30" i="1"/>
  <c r="C31" i="1" l="1"/>
  <c r="F31" i="1" s="1"/>
  <c r="B31" i="1"/>
  <c r="D31" i="1" s="1"/>
  <c r="E31" i="1" l="1"/>
  <c r="H31" i="1" l="1"/>
  <c r="G31" i="1"/>
  <c r="B11" i="1"/>
  <c r="C15" i="1"/>
  <c r="C11" i="1" s="1"/>
  <c r="C10" i="1"/>
  <c r="D10" i="1" s="1"/>
  <c r="E10" i="1" s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E7" i="1"/>
  <c r="D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B32" i="1" l="1"/>
  <c r="D32" i="1" s="1"/>
  <c r="C32" i="1"/>
  <c r="F32" i="1" s="1"/>
  <c r="D3" i="1"/>
  <c r="E3" i="1"/>
  <c r="G7" i="1"/>
  <c r="G3" i="1" s="1"/>
  <c r="F7" i="1"/>
  <c r="F3" i="1" s="1"/>
  <c r="D15" i="1"/>
  <c r="E32" i="1" l="1"/>
  <c r="I7" i="1"/>
  <c r="I3" i="1" s="1"/>
  <c r="H7" i="1"/>
  <c r="H3" i="1" s="1"/>
  <c r="D11" i="1"/>
  <c r="E15" i="1"/>
  <c r="G32" i="1" l="1"/>
  <c r="H32" i="1"/>
  <c r="K7" i="1"/>
  <c r="K3" i="1" s="1"/>
  <c r="J7" i="1"/>
  <c r="J3" i="1" s="1"/>
  <c r="E11" i="1"/>
  <c r="F15" i="1"/>
  <c r="C33" i="1" l="1"/>
  <c r="F33" i="1" s="1"/>
  <c r="B33" i="1"/>
  <c r="D33" i="1" s="1"/>
  <c r="M7" i="1"/>
  <c r="L7" i="1"/>
  <c r="L3" i="1" s="1"/>
  <c r="G15" i="1"/>
  <c r="F11" i="1"/>
  <c r="E33" i="1" l="1"/>
  <c r="G33" i="1" s="1"/>
  <c r="O7" i="1"/>
  <c r="O3" i="1" s="1"/>
  <c r="N7" i="1"/>
  <c r="N3" i="1" s="1"/>
  <c r="H15" i="1"/>
  <c r="G11" i="1"/>
  <c r="H33" i="1" l="1"/>
  <c r="B36" i="1" s="1"/>
  <c r="Q7" i="1"/>
  <c r="P7" i="1"/>
  <c r="I15" i="1"/>
  <c r="H11" i="1"/>
  <c r="P3" i="1" l="1"/>
  <c r="Q3" i="1"/>
  <c r="J15" i="1"/>
  <c r="I11" i="1"/>
  <c r="B8" i="1" l="1"/>
  <c r="K15" i="1"/>
  <c r="J11" i="1"/>
  <c r="L15" i="1" l="1"/>
  <c r="K11" i="1"/>
  <c r="M15" i="1" l="1"/>
  <c r="L11" i="1"/>
  <c r="N15" i="1" l="1"/>
  <c r="M11" i="1"/>
  <c r="O15" i="1" l="1"/>
  <c r="N11" i="1"/>
  <c r="P15" i="1" l="1"/>
  <c r="O11" i="1"/>
  <c r="Q15" i="1" l="1"/>
  <c r="Q11" i="1" s="1"/>
  <c r="P11" i="1"/>
  <c r="B16" i="1" l="1"/>
</calcChain>
</file>

<file path=xl/sharedStrings.xml><?xml version="1.0" encoding="utf-8"?>
<sst xmlns="http://schemas.openxmlformats.org/spreadsheetml/2006/main" count="59" uniqueCount="24">
  <si>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i</t>
    </r>
  </si>
  <si>
    <r>
      <t>f(x</t>
    </r>
    <r>
      <rPr>
        <vertAlign val="subscript"/>
        <sz val="11"/>
        <color theme="1"/>
        <rFont val="Calibri"/>
        <family val="2"/>
        <charset val="204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</si>
  <si>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e</t>
  </si>
  <si>
    <t>j</t>
  </si>
  <si>
    <t>min</t>
  </si>
  <si>
    <t>Номер отсчёта i нечётное</t>
  </si>
  <si>
    <t>Номер отсчёта i чётное</t>
  </si>
  <si>
    <t>Номер итерации</t>
  </si>
  <si>
    <r>
      <t>x</t>
    </r>
    <r>
      <rPr>
        <vertAlign val="subscript"/>
        <sz val="12"/>
        <color theme="1"/>
        <rFont val="Times New Roman"/>
        <family val="1"/>
        <charset val="204"/>
      </rPr>
      <t>1</t>
    </r>
    <r>
      <rPr>
        <vertAlign val="superscript"/>
        <sz val="12"/>
        <color theme="1"/>
        <rFont val="Times New Roman"/>
        <family val="1"/>
        <charset val="204"/>
      </rPr>
      <t>j</t>
    </r>
  </si>
  <si>
    <r>
      <t>x</t>
    </r>
    <r>
      <rPr>
        <vertAlign val="subscript"/>
        <sz val="12"/>
        <color theme="1"/>
        <rFont val="Times New Roman"/>
        <family val="1"/>
        <charset val="204"/>
      </rPr>
      <t>2</t>
    </r>
    <r>
      <rPr>
        <vertAlign val="superscript"/>
        <sz val="12"/>
        <color theme="1"/>
        <rFont val="Times New Roman"/>
        <family val="1"/>
        <charset val="204"/>
      </rPr>
      <t>j</t>
    </r>
  </si>
  <si>
    <r>
      <t>f</t>
    </r>
    <r>
      <rPr>
        <vertAlign val="subscript"/>
        <sz val="12"/>
        <color theme="1"/>
        <rFont val="Times New Roman"/>
        <family val="1"/>
        <charset val="204"/>
      </rPr>
      <t>1</t>
    </r>
    <r>
      <rPr>
        <vertAlign val="superscript"/>
        <sz val="12"/>
        <color theme="1"/>
        <rFont val="Times New Roman"/>
        <family val="1"/>
        <charset val="204"/>
      </rPr>
      <t>j</t>
    </r>
  </si>
  <si>
    <t>Знак</t>
  </si>
  <si>
    <r>
      <t>f</t>
    </r>
    <r>
      <rPr>
        <vertAlign val="subscript"/>
        <sz val="12"/>
        <color theme="1"/>
        <rFont val="Times New Roman"/>
        <family val="1"/>
        <charset val="204"/>
      </rPr>
      <t>2</t>
    </r>
    <r>
      <rPr>
        <vertAlign val="superscript"/>
        <sz val="12"/>
        <color theme="1"/>
        <rFont val="Times New Roman"/>
        <family val="1"/>
        <charset val="204"/>
      </rPr>
      <t>j</t>
    </r>
  </si>
  <si>
    <r>
      <t>a</t>
    </r>
    <r>
      <rPr>
        <vertAlign val="superscript"/>
        <sz val="12"/>
        <color theme="1"/>
        <rFont val="Times New Roman"/>
        <family val="1"/>
        <charset val="204"/>
      </rPr>
      <t>j</t>
    </r>
  </si>
  <si>
    <r>
      <t>b</t>
    </r>
    <r>
      <rPr>
        <vertAlign val="superscript"/>
        <sz val="12"/>
        <color theme="1"/>
        <rFont val="Times New Roman"/>
        <family val="1"/>
        <charset val="204"/>
      </rPr>
      <t>j</t>
    </r>
  </si>
  <si>
    <t>-</t>
  </si>
  <si>
    <t>N</t>
  </si>
  <si>
    <t>N/2</t>
  </si>
  <si>
    <t>f(x)</t>
  </si>
  <si>
    <t>Ф1</t>
  </si>
  <si>
    <t>Ф2</t>
  </si>
  <si>
    <t>Фибоначчи</t>
  </si>
  <si>
    <t>дихотомия</t>
  </si>
  <si>
    <t>пассивный поиск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</si>
</sst>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2"/>
      <color theme="1"/>
      <name val="Times New Roman"/>
      <family val="1"/>
      <charset val="204"/>
    </font>
    <font>
      <vertAlign val="superscript"/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i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81"/>
  <sheetViews>
    <sheetView tabSelected="1" topLeftCell="A27638" zoomScaleNormal="100" workbookViewId="0">
      <selection activeCell="J45" sqref="J45"/>
    </sheetView>
  </sheetViews>
  <sheetFormatPr defaultColWidth="9.85546875" defaultRowHeight="18" customHeight="1" x14ac:dyDescent="0.25"/>
  <cols>
    <col min="1" max="1" width="11.5703125" style="2" customWidth="1"/>
    <col min="2" max="2" width="13.85546875" style="2" customWidth="1"/>
    <col min="3" max="3" width="13" style="2" customWidth="1"/>
    <col min="4" max="4" width="14.85546875" style="2" customWidth="1"/>
    <col min="5" max="5" width="5.7109375" style="2" customWidth="1"/>
    <col min="6" max="6" width="15.140625" style="2" customWidth="1"/>
    <col min="7" max="8" width="10.85546875" style="2" customWidth="1"/>
    <col min="9" max="9" width="6.140625" style="2" customWidth="1"/>
    <col min="10" max="10" width="8.28515625" style="2" customWidth="1"/>
    <col min="11" max="11" width="10" style="2" customWidth="1"/>
    <col min="12" max="12" width="7.140625" style="2" customWidth="1"/>
    <col min="13" max="13" width="9.85546875" style="2" customWidth="1"/>
    <col min="14" max="14" width="7.5703125" style="2" customWidth="1"/>
    <col min="15" max="17" width="5.7109375" style="2" customWidth="1"/>
    <col min="18" max="18" width="6.7109375" style="2" customWidth="1"/>
    <col min="19" max="16384" width="9.85546875" style="2"/>
  </cols>
  <sheetData>
    <row r="1" spans="1:18" ht="18" customHeight="1" x14ac:dyDescent="0.3">
      <c r="A1" s="11" t="s">
        <v>23</v>
      </c>
    </row>
    <row r="2" spans="1:18" ht="27.75" customHeight="1" x14ac:dyDescent="0.25">
      <c r="A2" s="8" t="s">
        <v>6</v>
      </c>
      <c r="B2" s="9">
        <v>1</v>
      </c>
      <c r="C2" s="9">
        <f>B2+1</f>
        <v>2</v>
      </c>
      <c r="D2" s="9">
        <f t="shared" ref="D2:Q2" si="0">C2+1</f>
        <v>3</v>
      </c>
      <c r="E2" s="9">
        <f t="shared" si="0"/>
        <v>4</v>
      </c>
      <c r="F2" s="9">
        <f t="shared" si="0"/>
        <v>5</v>
      </c>
      <c r="G2" s="9">
        <f t="shared" si="0"/>
        <v>6</v>
      </c>
      <c r="H2" s="9">
        <f t="shared" si="0"/>
        <v>7</v>
      </c>
      <c r="I2" s="9">
        <f t="shared" si="0"/>
        <v>8</v>
      </c>
      <c r="J2" s="9">
        <f t="shared" si="0"/>
        <v>9</v>
      </c>
      <c r="K2" s="9">
        <f>J2+1</f>
        <v>10</v>
      </c>
      <c r="L2" s="9">
        <f t="shared" si="0"/>
        <v>11</v>
      </c>
      <c r="M2" s="9">
        <f t="shared" si="0"/>
        <v>12</v>
      </c>
      <c r="N2" s="9">
        <f t="shared" si="0"/>
        <v>13</v>
      </c>
      <c r="O2" s="9">
        <f>N2+1</f>
        <v>14</v>
      </c>
      <c r="P2" s="9">
        <f t="shared" si="0"/>
        <v>15</v>
      </c>
      <c r="Q2" s="9">
        <f t="shared" si="0"/>
        <v>16</v>
      </c>
    </row>
    <row r="3" spans="1:18" ht="18" customHeight="1" x14ac:dyDescent="0.25">
      <c r="A3" s="9" t="s">
        <v>0</v>
      </c>
      <c r="B3" s="3">
        <f>8/9*B7-$B$6/2</f>
        <v>0.8388888888888888</v>
      </c>
      <c r="C3" s="3">
        <f>8/9*C7+$B$6/2</f>
        <v>0.93888888888888888</v>
      </c>
      <c r="D3" s="3">
        <f t="shared" ref="D3" si="1">8/9*D7-$B$6/2</f>
        <v>1.7277777777777776</v>
      </c>
      <c r="E3" s="3">
        <f t="shared" ref="E3" si="2">8/9*E7+$B$6/2</f>
        <v>1.8277777777777777</v>
      </c>
      <c r="F3" s="3">
        <f t="shared" ref="F3" si="3">8/9*F7-$B$6/2</f>
        <v>2.6166666666666667</v>
      </c>
      <c r="G3" s="3">
        <f t="shared" ref="G3" si="4">8/9*G7+$B$6/2</f>
        <v>2.7166666666666663</v>
      </c>
      <c r="H3" s="3">
        <f t="shared" ref="H3" si="5">8/9*H7-$B$6/2</f>
        <v>3.5055555555555555</v>
      </c>
      <c r="I3" s="3">
        <f t="shared" ref="I3" si="6">8/9*I7+$B$6/2</f>
        <v>3.6055555555555552</v>
      </c>
      <c r="J3" s="3">
        <f t="shared" ref="J3" si="7">8/9*J7-$B$6/2</f>
        <v>4.3944444444444448</v>
      </c>
      <c r="K3" s="3">
        <f t="shared" ref="K3" si="8">8/9*K7+$B$6/2</f>
        <v>4.4944444444444445</v>
      </c>
      <c r="L3" s="3">
        <f t="shared" ref="L3" si="9">8/9*L7-$B$6/2</f>
        <v>5.2833333333333332</v>
      </c>
      <c r="M3" s="3">
        <f>8/9*M7+$B$6/2</f>
        <v>5.3833333333333329</v>
      </c>
      <c r="N3" s="3">
        <f t="shared" ref="N3" si="10">8/9*N7-$B$6/2</f>
        <v>6.1722222222222216</v>
      </c>
      <c r="O3" s="3">
        <f t="shared" ref="O3" si="11">8/9*O7+$B$6/2</f>
        <v>6.2722222222222213</v>
      </c>
      <c r="P3" s="3">
        <f t="shared" ref="P3" si="12">8/9*P7-$B$6/2</f>
        <v>7.0611111111111109</v>
      </c>
      <c r="Q3" s="3">
        <f t="shared" ref="Q3" si="13">8/9*Q7+$B$6/2</f>
        <v>7.1611111111111105</v>
      </c>
    </row>
    <row r="4" spans="1:18" ht="18" customHeight="1" x14ac:dyDescent="0.25">
      <c r="A4" s="9" t="s">
        <v>1</v>
      </c>
      <c r="B4" s="3">
        <f>B3*B3-9*B3+8</f>
        <v>1.1537345679012354</v>
      </c>
      <c r="C4" s="3">
        <f t="shared" ref="C4:Q4" si="14">C3*C3-9*C3+8</f>
        <v>0.43151234567901309</v>
      </c>
      <c r="D4" s="3">
        <f t="shared" si="14"/>
        <v>-4.5647839506172829</v>
      </c>
      <c r="E4" s="3">
        <f t="shared" si="14"/>
        <v>-5.1092283950617272</v>
      </c>
      <c r="F4" s="3">
        <f t="shared" si="14"/>
        <v>-8.703055555555558</v>
      </c>
      <c r="G4" s="3">
        <f t="shared" si="14"/>
        <v>-9.069722222222218</v>
      </c>
      <c r="H4" s="3">
        <f t="shared" si="14"/>
        <v>-11.261080246913579</v>
      </c>
      <c r="I4" s="3">
        <f t="shared" si="14"/>
        <v>-11.449969135802469</v>
      </c>
      <c r="J4" s="3">
        <f t="shared" si="14"/>
        <v>-12.238858024691361</v>
      </c>
      <c r="K4" s="3">
        <f t="shared" si="14"/>
        <v>-12.249969135802473</v>
      </c>
      <c r="L4" s="3">
        <f t="shared" si="14"/>
        <v>-11.636388888888888</v>
      </c>
      <c r="M4" s="3">
        <f t="shared" si="14"/>
        <v>-11.469722222222224</v>
      </c>
      <c r="N4" s="3">
        <f t="shared" si="14"/>
        <v>-9.4536728395061758</v>
      </c>
      <c r="O4" s="3">
        <f t="shared" si="14"/>
        <v>-9.1092283950617272</v>
      </c>
      <c r="P4" s="3">
        <f t="shared" si="14"/>
        <v>-5.6907098765432096</v>
      </c>
      <c r="Q4" s="3">
        <f t="shared" si="14"/>
        <v>-5.1684876543209839</v>
      </c>
    </row>
    <row r="6" spans="1:18" ht="18" customHeight="1" x14ac:dyDescent="0.25">
      <c r="A6" s="2" t="s">
        <v>2</v>
      </c>
      <c r="B6" s="2">
        <f>0.1</f>
        <v>0.1</v>
      </c>
    </row>
    <row r="7" spans="1:18" ht="18" customHeight="1" x14ac:dyDescent="0.25">
      <c r="A7" s="2" t="s">
        <v>3</v>
      </c>
      <c r="B7" s="2">
        <v>1</v>
      </c>
      <c r="C7" s="2">
        <v>1</v>
      </c>
      <c r="D7" s="2">
        <f>B7+1</f>
        <v>2</v>
      </c>
      <c r="E7" s="2">
        <f>C7+1</f>
        <v>2</v>
      </c>
      <c r="F7" s="2">
        <f t="shared" ref="F7:Q7" si="15">D7+1</f>
        <v>3</v>
      </c>
      <c r="G7" s="2">
        <f t="shared" si="15"/>
        <v>3</v>
      </c>
      <c r="H7" s="2">
        <f t="shared" si="15"/>
        <v>4</v>
      </c>
      <c r="I7" s="2">
        <f t="shared" si="15"/>
        <v>4</v>
      </c>
      <c r="J7" s="2">
        <f t="shared" si="15"/>
        <v>5</v>
      </c>
      <c r="K7" s="2">
        <f t="shared" si="15"/>
        <v>5</v>
      </c>
      <c r="L7" s="2">
        <f t="shared" si="15"/>
        <v>6</v>
      </c>
      <c r="M7" s="2">
        <f t="shared" si="15"/>
        <v>6</v>
      </c>
      <c r="N7" s="2">
        <f t="shared" si="15"/>
        <v>7</v>
      </c>
      <c r="O7" s="2">
        <f t="shared" si="15"/>
        <v>7</v>
      </c>
      <c r="P7" s="2">
        <f t="shared" si="15"/>
        <v>8</v>
      </c>
      <c r="Q7" s="2">
        <f t="shared" si="15"/>
        <v>8</v>
      </c>
    </row>
    <row r="8" spans="1:18" ht="18" customHeight="1" x14ac:dyDescent="0.25">
      <c r="A8" s="2" t="s">
        <v>4</v>
      </c>
      <c r="B8" s="2">
        <f>MIN(B4:Q4)</f>
        <v>-12.249969135802473</v>
      </c>
    </row>
    <row r="10" spans="1:18" ht="28.5" customHeight="1" x14ac:dyDescent="0.25">
      <c r="A10" s="8" t="s">
        <v>5</v>
      </c>
      <c r="B10" s="9">
        <v>1</v>
      </c>
      <c r="C10" s="9">
        <f>B10+1</f>
        <v>2</v>
      </c>
      <c r="D10" s="9">
        <f t="shared" ref="D10:J10" si="16">C10+1</f>
        <v>3</v>
      </c>
      <c r="E10" s="9">
        <f t="shared" si="16"/>
        <v>4</v>
      </c>
      <c r="F10" s="9">
        <f t="shared" si="16"/>
        <v>5</v>
      </c>
      <c r="G10" s="9">
        <f t="shared" si="16"/>
        <v>6</v>
      </c>
      <c r="H10" s="9">
        <f t="shared" si="16"/>
        <v>7</v>
      </c>
      <c r="I10" s="9">
        <f t="shared" si="16"/>
        <v>8</v>
      </c>
      <c r="J10" s="9">
        <f t="shared" si="16"/>
        <v>9</v>
      </c>
      <c r="K10" s="9">
        <f>J10+1</f>
        <v>10</v>
      </c>
      <c r="L10" s="9">
        <f t="shared" ref="L10:N10" si="17">K10+1</f>
        <v>11</v>
      </c>
      <c r="M10" s="9">
        <f t="shared" si="17"/>
        <v>12</v>
      </c>
      <c r="N10" s="9">
        <f t="shared" si="17"/>
        <v>13</v>
      </c>
      <c r="O10" s="9">
        <f>N10+1</f>
        <v>14</v>
      </c>
      <c r="P10" s="9">
        <f t="shared" ref="P10:Q10" si="18">O10+1</f>
        <v>15</v>
      </c>
      <c r="Q10" s="9">
        <f t="shared" si="18"/>
        <v>16</v>
      </c>
      <c r="R10" s="9">
        <v>17</v>
      </c>
    </row>
    <row r="11" spans="1:18" ht="18" customHeight="1" x14ac:dyDescent="0.25">
      <c r="A11" s="9" t="s">
        <v>0</v>
      </c>
      <c r="B11" s="3">
        <f>4/9*B15</f>
        <v>0.44444444444444442</v>
      </c>
      <c r="C11" s="3">
        <f t="shared" ref="C11:R11" si="19">4/9*C15</f>
        <v>0.88888888888888884</v>
      </c>
      <c r="D11" s="3">
        <f t="shared" si="19"/>
        <v>1.3333333333333333</v>
      </c>
      <c r="E11" s="3">
        <f t="shared" si="19"/>
        <v>1.7777777777777777</v>
      </c>
      <c r="F11" s="3">
        <f t="shared" si="19"/>
        <v>2.2222222222222223</v>
      </c>
      <c r="G11" s="3">
        <f t="shared" si="19"/>
        <v>2.6666666666666665</v>
      </c>
      <c r="H11" s="3">
        <f t="shared" si="19"/>
        <v>3.1111111111111107</v>
      </c>
      <c r="I11" s="3">
        <f t="shared" si="19"/>
        <v>3.5555555555555554</v>
      </c>
      <c r="J11" s="3">
        <f t="shared" si="19"/>
        <v>4</v>
      </c>
      <c r="K11" s="3">
        <f t="shared" si="19"/>
        <v>4.4444444444444446</v>
      </c>
      <c r="L11" s="3">
        <f t="shared" si="19"/>
        <v>4.8888888888888884</v>
      </c>
      <c r="M11" s="3">
        <f t="shared" si="19"/>
        <v>5.333333333333333</v>
      </c>
      <c r="N11" s="3">
        <f t="shared" si="19"/>
        <v>5.7777777777777777</v>
      </c>
      <c r="O11" s="3">
        <f t="shared" si="19"/>
        <v>6.2222222222222214</v>
      </c>
      <c r="P11" s="3">
        <f t="shared" si="19"/>
        <v>6.6666666666666661</v>
      </c>
      <c r="Q11" s="3">
        <f t="shared" si="19"/>
        <v>7.1111111111111107</v>
      </c>
      <c r="R11" s="3">
        <f t="shared" si="19"/>
        <v>7.5555555555555554</v>
      </c>
    </row>
    <row r="12" spans="1:18" ht="18" customHeight="1" x14ac:dyDescent="0.25">
      <c r="A12" s="9" t="s">
        <v>1</v>
      </c>
      <c r="B12" s="3">
        <f>B11*B11-9*B11+8</f>
        <v>4.1975308641975309</v>
      </c>
      <c r="C12" s="3">
        <f t="shared" ref="C12:R12" si="20">C11*C11-9*C11+8</f>
        <v>0.79012345679012341</v>
      </c>
      <c r="D12" s="3">
        <f t="shared" si="20"/>
        <v>-2.2222222222222214</v>
      </c>
      <c r="E12" s="3">
        <f t="shared" si="20"/>
        <v>-4.8395061728395063</v>
      </c>
      <c r="F12" s="3">
        <f t="shared" si="20"/>
        <v>-7.0617283950617278</v>
      </c>
      <c r="G12" s="3">
        <f t="shared" si="20"/>
        <v>-8.8888888888888893</v>
      </c>
      <c r="H12" s="3">
        <f t="shared" si="20"/>
        <v>-10.320987654320987</v>
      </c>
      <c r="I12" s="3">
        <f t="shared" si="20"/>
        <v>-11.358024691358025</v>
      </c>
      <c r="J12" s="3">
        <f t="shared" si="20"/>
        <v>-12</v>
      </c>
      <c r="K12" s="3">
        <f t="shared" si="20"/>
        <v>-12.246913580246911</v>
      </c>
      <c r="L12" s="3">
        <f t="shared" si="20"/>
        <v>-12.098765432098762</v>
      </c>
      <c r="M12" s="3">
        <f t="shared" si="20"/>
        <v>-11.555555555555557</v>
      </c>
      <c r="N12" s="3">
        <f t="shared" si="20"/>
        <v>-10.617283950617285</v>
      </c>
      <c r="O12" s="3">
        <f t="shared" si="20"/>
        <v>-9.2839506172839563</v>
      </c>
      <c r="P12" s="3">
        <f t="shared" si="20"/>
        <v>-7.5555555555555571</v>
      </c>
      <c r="Q12" s="3">
        <f t="shared" si="20"/>
        <v>-5.4320987654321016</v>
      </c>
      <c r="R12" s="3">
        <f t="shared" si="20"/>
        <v>-2.9135802469135825</v>
      </c>
    </row>
    <row r="15" spans="1:18" ht="18" customHeight="1" x14ac:dyDescent="0.25">
      <c r="A15" s="2" t="s">
        <v>3</v>
      </c>
      <c r="B15" s="2">
        <v>1</v>
      </c>
      <c r="C15" s="2">
        <f>B15+1</f>
        <v>2</v>
      </c>
      <c r="D15" s="2">
        <f t="shared" ref="D15:Q15" si="21">C15+1</f>
        <v>3</v>
      </c>
      <c r="E15" s="2">
        <f t="shared" si="21"/>
        <v>4</v>
      </c>
      <c r="F15" s="2">
        <f t="shared" si="21"/>
        <v>5</v>
      </c>
      <c r="G15" s="2">
        <f t="shared" si="21"/>
        <v>6</v>
      </c>
      <c r="H15" s="2">
        <f t="shared" si="21"/>
        <v>7</v>
      </c>
      <c r="I15" s="2">
        <f t="shared" si="21"/>
        <v>8</v>
      </c>
      <c r="J15" s="2">
        <f t="shared" si="21"/>
        <v>9</v>
      </c>
      <c r="K15" s="2">
        <f t="shared" si="21"/>
        <v>10</v>
      </c>
      <c r="L15" s="2">
        <f t="shared" si="21"/>
        <v>11</v>
      </c>
      <c r="M15" s="2">
        <f t="shared" si="21"/>
        <v>12</v>
      </c>
      <c r="N15" s="2">
        <f t="shared" si="21"/>
        <v>13</v>
      </c>
      <c r="O15" s="2">
        <f t="shared" si="21"/>
        <v>14</v>
      </c>
      <c r="P15" s="2">
        <f t="shared" si="21"/>
        <v>15</v>
      </c>
      <c r="Q15" s="2">
        <f t="shared" si="21"/>
        <v>16</v>
      </c>
      <c r="R15" s="2">
        <v>17</v>
      </c>
    </row>
    <row r="16" spans="1:18" ht="18" customHeight="1" x14ac:dyDescent="0.25">
      <c r="A16" s="2" t="s">
        <v>4</v>
      </c>
      <c r="B16" s="2">
        <f>MIN(B12:Q12)</f>
        <v>-12.246913580246911</v>
      </c>
    </row>
    <row r="18" spans="1:17" ht="18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18" customHeight="1" x14ac:dyDescent="0.3">
      <c r="A19" s="12" t="s">
        <v>22</v>
      </c>
    </row>
    <row r="20" spans="1:17" ht="18" customHeight="1" x14ac:dyDescent="0.25">
      <c r="A20" s="2" t="s">
        <v>16</v>
      </c>
      <c r="B20" s="2">
        <v>16</v>
      </c>
    </row>
    <row r="21" spans="1:17" ht="18" customHeight="1" x14ac:dyDescent="0.25">
      <c r="A21" s="2" t="s">
        <v>17</v>
      </c>
      <c r="B21" s="2">
        <v>8</v>
      </c>
    </row>
    <row r="22" spans="1:17" ht="14.25" customHeight="1" x14ac:dyDescent="0.25">
      <c r="A22" s="2" t="s">
        <v>2</v>
      </c>
      <c r="B22" s="2">
        <f>0.1</f>
        <v>0.1</v>
      </c>
    </row>
    <row r="23" spans="1:17" ht="21" customHeight="1" thickBot="1" x14ac:dyDescent="0.3"/>
    <row r="24" spans="1:17" ht="18" customHeight="1" x14ac:dyDescent="0.25">
      <c r="A24" s="13" t="s">
        <v>7</v>
      </c>
      <c r="B24" s="13" t="s">
        <v>8</v>
      </c>
      <c r="C24" s="13" t="s">
        <v>9</v>
      </c>
      <c r="D24" s="13" t="s">
        <v>10</v>
      </c>
      <c r="E24" s="13" t="s">
        <v>11</v>
      </c>
      <c r="F24" s="13" t="s">
        <v>12</v>
      </c>
      <c r="G24" s="13" t="s">
        <v>13</v>
      </c>
      <c r="H24" s="13" t="s">
        <v>14</v>
      </c>
    </row>
    <row r="25" spans="1:17" ht="18" customHeight="1" thickBot="1" x14ac:dyDescent="0.3">
      <c r="A25" s="14"/>
      <c r="B25" s="14"/>
      <c r="C25" s="14"/>
      <c r="D25" s="14"/>
      <c r="E25" s="14"/>
      <c r="F25" s="14"/>
      <c r="G25" s="14"/>
      <c r="H25" s="14"/>
    </row>
    <row r="26" spans="1:17" ht="18" customHeight="1" thickBot="1" x14ac:dyDescent="0.3">
      <c r="A26" s="7">
        <v>1</v>
      </c>
      <c r="B26" s="6" t="s">
        <v>15</v>
      </c>
      <c r="C26" s="6" t="s">
        <v>15</v>
      </c>
      <c r="D26" s="6" t="s">
        <v>15</v>
      </c>
      <c r="E26" s="6"/>
      <c r="F26" s="6" t="s">
        <v>15</v>
      </c>
      <c r="G26" s="6">
        <v>0</v>
      </c>
      <c r="H26" s="6">
        <v>8</v>
      </c>
    </row>
    <row r="27" spans="1:17" ht="18" customHeight="1" thickBot="1" x14ac:dyDescent="0.3">
      <c r="A27" s="7">
        <v>2</v>
      </c>
      <c r="B27" s="6">
        <f>(G26+H26)/2-$B$22/2</f>
        <v>3.95</v>
      </c>
      <c r="C27" s="6">
        <f>(G26+H26)/2+$B$22/2</f>
        <v>4.05</v>
      </c>
      <c r="D27" s="6">
        <f>POWER(B27,2)-9*B27+8</f>
        <v>-11.947500000000005</v>
      </c>
      <c r="E27" s="6" t="str">
        <f>IF(D27&gt;F27,"&gt;","&lt;=")</f>
        <v>&gt;</v>
      </c>
      <c r="F27" s="6">
        <f>POWER(C27,2)-9*C27+8</f>
        <v>-12.047499999999996</v>
      </c>
      <c r="G27" s="6">
        <f>IF(E27="&gt;",B27,G26)</f>
        <v>3.95</v>
      </c>
      <c r="H27" s="6">
        <f>IF(E27="&lt;=",C27,H26)</f>
        <v>8</v>
      </c>
    </row>
    <row r="28" spans="1:17" ht="18" customHeight="1" thickBot="1" x14ac:dyDescent="0.3">
      <c r="A28" s="7">
        <v>3</v>
      </c>
      <c r="B28" s="6">
        <f t="shared" ref="B28:B33" si="22">(G27+H27)/2-$B$22/2</f>
        <v>5.9249999999999998</v>
      </c>
      <c r="C28" s="6">
        <f t="shared" ref="C28:C33" si="23">(G27+H27)/2+$B$22/2</f>
        <v>6.0249999999999995</v>
      </c>
      <c r="D28" s="6">
        <f t="shared" ref="D28:D33" si="24">POWER(B28,2)-9*B28+8</f>
        <v>-10.219374999999999</v>
      </c>
      <c r="E28" s="6" t="str">
        <f t="shared" ref="E28:E33" si="25">IF(D28&gt;F28,"&gt;","&lt;=")</f>
        <v>&lt;=</v>
      </c>
      <c r="F28" s="6">
        <f t="shared" ref="F28:F33" si="26">POWER(C28,2)-9*C28+8</f>
        <v>-9.9243749999999977</v>
      </c>
      <c r="G28" s="6">
        <f t="shared" ref="G28:G33" si="27">IF(E28="&gt;",B28,G27)</f>
        <v>3.95</v>
      </c>
      <c r="H28" s="6">
        <f t="shared" ref="H28:H33" si="28">IF(E28="&lt;=",C28,H27)</f>
        <v>6.0249999999999995</v>
      </c>
    </row>
    <row r="29" spans="1:17" ht="18" customHeight="1" thickBot="1" x14ac:dyDescent="0.3">
      <c r="A29" s="7">
        <v>4</v>
      </c>
      <c r="B29" s="6">
        <f t="shared" si="22"/>
        <v>4.9375</v>
      </c>
      <c r="C29" s="6">
        <f t="shared" si="23"/>
        <v>5.0374999999999996</v>
      </c>
      <c r="D29" s="6">
        <f t="shared" si="24"/>
        <v>-12.05859375</v>
      </c>
      <c r="E29" s="6" t="str">
        <f t="shared" si="25"/>
        <v>&lt;=</v>
      </c>
      <c r="F29" s="6">
        <f t="shared" si="26"/>
        <v>-11.961093750000003</v>
      </c>
      <c r="G29" s="6">
        <f t="shared" si="27"/>
        <v>3.95</v>
      </c>
      <c r="H29" s="6">
        <f t="shared" si="28"/>
        <v>5.0374999999999996</v>
      </c>
    </row>
    <row r="30" spans="1:17" ht="18" customHeight="1" thickBot="1" x14ac:dyDescent="0.3">
      <c r="A30" s="7">
        <v>5</v>
      </c>
      <c r="B30" s="6">
        <f t="shared" si="22"/>
        <v>4.4437500000000005</v>
      </c>
      <c r="C30" s="6">
        <f t="shared" si="23"/>
        <v>4.5437500000000002</v>
      </c>
      <c r="D30" s="6">
        <f t="shared" si="24"/>
        <v>-12.246835937500002</v>
      </c>
      <c r="E30" s="6" t="str">
        <f t="shared" si="25"/>
        <v>&gt;</v>
      </c>
      <c r="F30" s="6">
        <f t="shared" si="26"/>
        <v>-12.248085937500004</v>
      </c>
      <c r="G30" s="6">
        <f t="shared" si="27"/>
        <v>4.4437500000000005</v>
      </c>
      <c r="H30" s="6">
        <f t="shared" si="28"/>
        <v>5.0374999999999996</v>
      </c>
    </row>
    <row r="31" spans="1:17" ht="18" customHeight="1" thickBot="1" x14ac:dyDescent="0.3">
      <c r="A31" s="7">
        <v>6</v>
      </c>
      <c r="B31" s="6">
        <f t="shared" si="22"/>
        <v>4.6906249999999998</v>
      </c>
      <c r="C31" s="6">
        <f t="shared" si="23"/>
        <v>4.7906249999999995</v>
      </c>
      <c r="D31" s="6">
        <f t="shared" si="24"/>
        <v>-12.213662109374997</v>
      </c>
      <c r="E31" s="6" t="str">
        <f t="shared" si="25"/>
        <v>&lt;=</v>
      </c>
      <c r="F31" s="6">
        <f t="shared" si="26"/>
        <v>-12.165537109374998</v>
      </c>
      <c r="G31" s="6">
        <f t="shared" si="27"/>
        <v>4.4437500000000005</v>
      </c>
      <c r="H31" s="6">
        <f t="shared" si="28"/>
        <v>4.7906249999999995</v>
      </c>
    </row>
    <row r="32" spans="1:17" ht="18" customHeight="1" thickBot="1" x14ac:dyDescent="0.3">
      <c r="A32" s="7">
        <v>7</v>
      </c>
      <c r="B32" s="6">
        <f t="shared" si="22"/>
        <v>4.5671875000000002</v>
      </c>
      <c r="C32" s="6">
        <f t="shared" si="23"/>
        <v>4.6671874999999998</v>
      </c>
      <c r="D32" s="6">
        <f t="shared" si="24"/>
        <v>-12.245485839843752</v>
      </c>
      <c r="E32" s="6" t="str">
        <f t="shared" si="25"/>
        <v>&lt;=</v>
      </c>
      <c r="F32" s="6">
        <f t="shared" si="26"/>
        <v>-12.222048339843749</v>
      </c>
      <c r="G32" s="6">
        <f t="shared" si="27"/>
        <v>4.4437500000000005</v>
      </c>
      <c r="H32" s="6">
        <f t="shared" si="28"/>
        <v>4.6671874999999998</v>
      </c>
    </row>
    <row r="33" spans="1:17" ht="18" customHeight="1" thickBot="1" x14ac:dyDescent="0.3">
      <c r="A33" s="7">
        <v>8</v>
      </c>
      <c r="B33" s="6">
        <f t="shared" si="22"/>
        <v>4.5054687500000004</v>
      </c>
      <c r="C33" s="6">
        <f t="shared" si="23"/>
        <v>4.60546875</v>
      </c>
      <c r="D33" s="6">
        <f t="shared" si="24"/>
        <v>-12.249970092773435</v>
      </c>
      <c r="E33" s="6" t="str">
        <f t="shared" si="25"/>
        <v>&lt;=</v>
      </c>
      <c r="F33" s="6">
        <f t="shared" si="26"/>
        <v>-12.238876342773438</v>
      </c>
      <c r="G33" s="6">
        <f t="shared" si="27"/>
        <v>4.4437500000000005</v>
      </c>
      <c r="H33" s="6">
        <f t="shared" si="28"/>
        <v>4.60546875</v>
      </c>
    </row>
    <row r="35" spans="1:17" ht="18" customHeight="1" x14ac:dyDescent="0.25">
      <c r="A35" s="2" t="s">
        <v>18</v>
      </c>
      <c r="B35" s="2">
        <f>POWER(B33,2)-9*B33+8</f>
        <v>-12.249970092773435</v>
      </c>
      <c r="C35" s="2">
        <f>POWER(C33,2)-9*C33+8</f>
        <v>-12.238876342773438</v>
      </c>
      <c r="G35" s="2">
        <f>POWER(G33,2)-9*G33+8</f>
        <v>-12.246835937500002</v>
      </c>
      <c r="H35" s="2">
        <f>POWER(H33,2)-9*H33+8</f>
        <v>-12.238876342773438</v>
      </c>
    </row>
    <row r="36" spans="1:17" ht="18" customHeight="1" x14ac:dyDescent="0.25">
      <c r="A36" s="2" t="s">
        <v>4</v>
      </c>
      <c r="B36" s="2">
        <f>MIN(B35:H35)</f>
        <v>-12.249970092773435</v>
      </c>
    </row>
    <row r="38" spans="1:17" ht="18" customHeight="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8" customHeight="1" thickBot="1" x14ac:dyDescent="0.35">
      <c r="A39" s="11" t="s">
        <v>21</v>
      </c>
    </row>
    <row r="40" spans="1:17" ht="18" customHeight="1" x14ac:dyDescent="0.25">
      <c r="A40" s="15" t="s">
        <v>7</v>
      </c>
      <c r="B40" s="15" t="s">
        <v>8</v>
      </c>
      <c r="C40" s="15" t="s">
        <v>9</v>
      </c>
      <c r="D40" s="15" t="s">
        <v>10</v>
      </c>
      <c r="E40" s="15" t="s">
        <v>11</v>
      </c>
      <c r="F40" s="15" t="s">
        <v>12</v>
      </c>
      <c r="G40" s="15" t="s">
        <v>13</v>
      </c>
      <c r="H40" s="15" t="s">
        <v>14</v>
      </c>
      <c r="I40" s="10"/>
      <c r="J40" s="10"/>
      <c r="K40" s="2" t="s">
        <v>16</v>
      </c>
      <c r="L40" s="2">
        <v>16</v>
      </c>
    </row>
    <row r="41" spans="1:17" ht="27" customHeight="1" thickBot="1" x14ac:dyDescent="0.3">
      <c r="A41" s="16"/>
      <c r="B41" s="16"/>
      <c r="C41" s="16"/>
      <c r="D41" s="16"/>
      <c r="E41" s="16"/>
      <c r="F41" s="16"/>
      <c r="G41" s="16"/>
      <c r="H41" s="16"/>
      <c r="I41" s="10"/>
      <c r="J41" s="10"/>
      <c r="K41" s="2" t="s">
        <v>2</v>
      </c>
      <c r="L41" s="2">
        <f>0.2</f>
        <v>0.2</v>
      </c>
    </row>
    <row r="42" spans="1:17" ht="18" customHeight="1" thickBot="1" x14ac:dyDescent="0.3">
      <c r="A42" s="1">
        <v>0</v>
      </c>
      <c r="B42" s="5" t="s">
        <v>15</v>
      </c>
      <c r="C42" s="5" t="s">
        <v>15</v>
      </c>
      <c r="D42" s="5" t="s">
        <v>15</v>
      </c>
      <c r="E42" s="5"/>
      <c r="F42" s="5" t="s">
        <v>15</v>
      </c>
      <c r="G42" s="5">
        <v>0</v>
      </c>
      <c r="H42" s="5">
        <v>8</v>
      </c>
      <c r="I42" s="10"/>
      <c r="J42" s="10"/>
    </row>
    <row r="43" spans="1:17" ht="18" customHeight="1" thickBot="1" x14ac:dyDescent="0.3">
      <c r="A43" s="1">
        <v>1</v>
      </c>
      <c r="B43" s="5">
        <f>G42+(ФИБ($L$40-A43-1)/ФИБ($L$40-A43+1))*(H42-G42)-(POWER(-1,$L$40-A43+1)/ФИБ($L$40-A43+1))*$L$41</f>
        <v>3.0556042579837195</v>
      </c>
      <c r="C43" s="5">
        <f>G42+(ФИБ($L$40-A43)/ФИБ($L$40-A43+1))*(H42-G42)+(POWER(-1,$L$40-A43+1)/ФИБ($L$40-A43+1))*$L$41</f>
        <v>4.9443957420162805</v>
      </c>
      <c r="D43" s="5">
        <f>POWER(B43,2)-9*B43+8</f>
        <v>-10.163720940445238</v>
      </c>
      <c r="E43" s="5" t="str">
        <f>IF(D43&gt;F43,"&gt;","&lt;=")</f>
        <v>&gt;</v>
      </c>
      <c r="F43" s="5">
        <f>POWER(C43,2)-9*C43+8</f>
        <v>-12.052512424477801</v>
      </c>
      <c r="G43" s="5">
        <f>IF(E43="&gt;",B43,G42)</f>
        <v>3.0556042579837195</v>
      </c>
      <c r="H43" s="5">
        <f>IF(E43="&lt;=",C43,H42)</f>
        <v>8</v>
      </c>
      <c r="I43" s="10"/>
      <c r="J43" s="10"/>
    </row>
    <row r="44" spans="1:17" ht="18" customHeight="1" thickBot="1" x14ac:dyDescent="0.3">
      <c r="A44" s="1">
        <v>2</v>
      </c>
      <c r="B44" s="5">
        <f t="shared" ref="B44:B57" si="29">IF(E43="&gt;",C43,G43+(ФИБ($L$40-A44-1)/ФИБ($L$40-A44+1))*(H43-G43)-(POWER(-1,$L$40-A44+1)/ФИБ($L$40-A44+1))*$L$41)</f>
        <v>4.9443957420162805</v>
      </c>
      <c r="C44" s="5">
        <f t="shared" ref="C44:C57" si="30">IF(E43="&lt;=",B43,G43+(ФИБ($L$40-A44)/ФИБ($L$40-A44+1))*(H43-G43)+(POWER(-1,$L$40-A44+1)/ФИБ($L$40-A44+1))*$L$41)</f>
        <v>6.111208515967439</v>
      </c>
      <c r="D44" s="5">
        <f t="shared" ref="D44:D57" si="31">POWER(B44,2)-9*B44+8</f>
        <v>-12.052512424477801</v>
      </c>
      <c r="E44" s="5" t="str">
        <f t="shared" ref="E44:E56" si="32">IF(D44&gt;F44,"&gt;","&lt;=")</f>
        <v>&lt;=</v>
      </c>
      <c r="F44" s="5">
        <f t="shared" ref="F44:F57" si="33">POWER(C44,2)-9*C44+8</f>
        <v>-9.6540071180740057</v>
      </c>
      <c r="G44" s="5">
        <f t="shared" ref="G44:G57" si="34">IF(E44="&gt;",B44,G43)</f>
        <v>3.0556042579837195</v>
      </c>
      <c r="H44" s="5">
        <f>IF(E44="&lt;=",C44,H43)</f>
        <v>6.111208515967439</v>
      </c>
    </row>
    <row r="45" spans="1:17" ht="18" customHeight="1" thickBot="1" x14ac:dyDescent="0.3">
      <c r="A45" s="1">
        <v>3</v>
      </c>
      <c r="B45" s="5">
        <f t="shared" si="29"/>
        <v>4.2224170319348779</v>
      </c>
      <c r="C45" s="5">
        <f t="shared" si="30"/>
        <v>4.9443957420162805</v>
      </c>
      <c r="D45" s="5">
        <f t="shared" si="31"/>
        <v>-12.172947695840161</v>
      </c>
      <c r="E45" s="5" t="str">
        <f t="shared" si="32"/>
        <v>&lt;=</v>
      </c>
      <c r="F45" s="5">
        <f t="shared" si="33"/>
        <v>-12.052512424477801</v>
      </c>
      <c r="G45" s="5">
        <f t="shared" si="34"/>
        <v>3.0556042579837195</v>
      </c>
      <c r="H45" s="5">
        <f t="shared" ref="H45:H57" si="35">IF(E45="&lt;=",C45,H44)</f>
        <v>4.9443957420162805</v>
      </c>
    </row>
    <row r="46" spans="1:17" ht="18" customHeight="1" thickBot="1" x14ac:dyDescent="0.3">
      <c r="A46" s="1">
        <v>4</v>
      </c>
      <c r="B46" s="5">
        <f t="shared" si="29"/>
        <v>3.7775829680651221</v>
      </c>
      <c r="C46" s="5">
        <f t="shared" si="30"/>
        <v>4.2224170319348779</v>
      </c>
      <c r="D46" s="5">
        <f t="shared" si="31"/>
        <v>-11.728113631970398</v>
      </c>
      <c r="E46" s="5" t="str">
        <f t="shared" si="32"/>
        <v>&gt;</v>
      </c>
      <c r="F46" s="5">
        <f t="shared" si="33"/>
        <v>-12.172947695840161</v>
      </c>
      <c r="G46" s="5">
        <f t="shared" si="34"/>
        <v>3.7775829680651221</v>
      </c>
      <c r="H46" s="5">
        <f t="shared" si="35"/>
        <v>4.9443957420162805</v>
      </c>
    </row>
    <row r="47" spans="1:17" ht="18" customHeight="1" thickBot="1" x14ac:dyDescent="0.3">
      <c r="A47" s="1">
        <v>5</v>
      </c>
      <c r="B47" s="5">
        <f t="shared" si="29"/>
        <v>4.2224170319348779</v>
      </c>
      <c r="C47" s="5">
        <f t="shared" si="30"/>
        <v>4.4995616781465246</v>
      </c>
      <c r="D47" s="5">
        <f t="shared" si="31"/>
        <v>-12.172947695840161</v>
      </c>
      <c r="E47" s="5" t="str">
        <f t="shared" si="32"/>
        <v>&gt;</v>
      </c>
      <c r="F47" s="5">
        <f t="shared" si="33"/>
        <v>-12.249999807873955</v>
      </c>
      <c r="G47" s="5">
        <f t="shared" si="34"/>
        <v>4.2224170319348779</v>
      </c>
      <c r="H47" s="5">
        <f t="shared" si="35"/>
        <v>4.9443957420162805</v>
      </c>
    </row>
    <row r="48" spans="1:17" ht="18" customHeight="1" thickBot="1" x14ac:dyDescent="0.3">
      <c r="A48" s="1">
        <v>6</v>
      </c>
      <c r="B48" s="5">
        <f t="shared" si="29"/>
        <v>4.4995616781465246</v>
      </c>
      <c r="C48" s="5">
        <f t="shared" si="30"/>
        <v>4.6672510958046338</v>
      </c>
      <c r="D48" s="5">
        <f t="shared" si="31"/>
        <v>-12.249999807873955</v>
      </c>
      <c r="E48" s="5" t="str">
        <f t="shared" si="32"/>
        <v>&lt;=</v>
      </c>
      <c r="F48" s="5">
        <f t="shared" si="33"/>
        <v>-12.222027070952144</v>
      </c>
      <c r="G48" s="5">
        <f t="shared" si="34"/>
        <v>4.2224170319348779</v>
      </c>
      <c r="H48" s="5">
        <f t="shared" si="35"/>
        <v>4.6672510958046338</v>
      </c>
    </row>
    <row r="49" spans="1:17" ht="18" customHeight="1" thickBot="1" x14ac:dyDescent="0.3">
      <c r="A49" s="1">
        <v>7</v>
      </c>
      <c r="B49" s="5">
        <f t="shared" si="29"/>
        <v>4.3901064495929871</v>
      </c>
      <c r="C49" s="5">
        <f t="shared" si="30"/>
        <v>4.4995616781465246</v>
      </c>
      <c r="D49" s="5">
        <f t="shared" si="31"/>
        <v>-12.23792340757894</v>
      </c>
      <c r="E49" s="5" t="str">
        <f t="shared" si="32"/>
        <v>&gt;</v>
      </c>
      <c r="F49" s="5">
        <f t="shared" si="33"/>
        <v>-12.249999807873955</v>
      </c>
      <c r="G49" s="5">
        <f t="shared" si="34"/>
        <v>4.3901064495929871</v>
      </c>
      <c r="H49" s="5">
        <f t="shared" si="35"/>
        <v>4.6672510958046338</v>
      </c>
    </row>
    <row r="50" spans="1:17" ht="18" customHeight="1" thickBot="1" x14ac:dyDescent="0.3">
      <c r="A50" s="1">
        <v>8</v>
      </c>
      <c r="B50" s="5">
        <f t="shared" si="29"/>
        <v>4.4995616781465246</v>
      </c>
      <c r="C50" s="5">
        <f t="shared" si="30"/>
        <v>4.5577958672510954</v>
      </c>
      <c r="D50" s="5">
        <f t="shared" si="31"/>
        <v>-12.249999807873955</v>
      </c>
      <c r="E50" s="5" t="str">
        <f t="shared" si="32"/>
        <v>&lt;=</v>
      </c>
      <c r="F50" s="5">
        <f t="shared" si="33"/>
        <v>-12.246659637728694</v>
      </c>
      <c r="G50" s="5">
        <f t="shared" si="34"/>
        <v>4.3901064495929871</v>
      </c>
      <c r="H50" s="5">
        <f t="shared" si="35"/>
        <v>4.5577958672510954</v>
      </c>
    </row>
    <row r="51" spans="1:17" ht="18" customHeight="1" thickBot="1" x14ac:dyDescent="0.3">
      <c r="A51" s="1">
        <v>9</v>
      </c>
      <c r="B51" s="5">
        <f t="shared" si="29"/>
        <v>4.4483406386975579</v>
      </c>
      <c r="C51" s="5">
        <f t="shared" si="30"/>
        <v>4.4995616781465246</v>
      </c>
      <c r="D51" s="5">
        <f t="shared" si="31"/>
        <v>-12.247331310389825</v>
      </c>
      <c r="E51" s="5" t="str">
        <f t="shared" si="32"/>
        <v>&gt;</v>
      </c>
      <c r="F51" s="5">
        <f t="shared" si="33"/>
        <v>-12.249999807873955</v>
      </c>
      <c r="G51" s="5">
        <f t="shared" si="34"/>
        <v>4.4483406386975579</v>
      </c>
      <c r="H51" s="5">
        <f t="shared" si="35"/>
        <v>4.5577958672510954</v>
      </c>
    </row>
    <row r="52" spans="1:17" ht="18" customHeight="1" thickBot="1" x14ac:dyDescent="0.3">
      <c r="A52" s="1">
        <v>10</v>
      </c>
      <c r="B52" s="5">
        <f t="shared" si="29"/>
        <v>4.4995616781465246</v>
      </c>
      <c r="C52" s="5">
        <f t="shared" si="30"/>
        <v>4.5065748278021287</v>
      </c>
      <c r="D52" s="5">
        <f t="shared" si="31"/>
        <v>-12.249999807873955</v>
      </c>
      <c r="E52" s="5" t="str">
        <f t="shared" si="32"/>
        <v>&lt;=</v>
      </c>
      <c r="F52" s="5">
        <f t="shared" si="33"/>
        <v>-12.249956771639368</v>
      </c>
      <c r="G52" s="5">
        <f t="shared" si="34"/>
        <v>4.4483406386975579</v>
      </c>
      <c r="H52" s="5">
        <f t="shared" si="35"/>
        <v>4.5065748278021287</v>
      </c>
    </row>
    <row r="53" spans="1:17" ht="18" customHeight="1" thickBot="1" x14ac:dyDescent="0.3">
      <c r="A53" s="1">
        <v>11</v>
      </c>
      <c r="B53" s="5">
        <f t="shared" si="29"/>
        <v>4.455353788353162</v>
      </c>
      <c r="C53" s="5">
        <f t="shared" si="30"/>
        <v>4.4995616781465246</v>
      </c>
      <c r="D53" s="5">
        <f t="shared" si="31"/>
        <v>-12.248006715785589</v>
      </c>
      <c r="E53" s="5" t="str">
        <f t="shared" si="32"/>
        <v>&gt;</v>
      </c>
      <c r="F53" s="5">
        <f t="shared" si="33"/>
        <v>-12.249999807873955</v>
      </c>
      <c r="G53" s="5">
        <f t="shared" si="34"/>
        <v>4.455353788353162</v>
      </c>
      <c r="H53" s="5">
        <f t="shared" si="35"/>
        <v>4.5065748278021287</v>
      </c>
    </row>
    <row r="54" spans="1:17" ht="18" customHeight="1" thickBot="1" x14ac:dyDescent="0.3">
      <c r="A54" s="1">
        <v>12</v>
      </c>
      <c r="B54" s="5">
        <f t="shared" si="29"/>
        <v>4.4995616781465246</v>
      </c>
      <c r="C54" s="5">
        <f t="shared" si="30"/>
        <v>4.462366938008766</v>
      </c>
      <c r="D54" s="5">
        <f t="shared" si="31"/>
        <v>-12.249999807873955</v>
      </c>
      <c r="E54" s="5" t="str">
        <f t="shared" si="32"/>
        <v>&lt;=</v>
      </c>
      <c r="F54" s="5">
        <f t="shared" si="33"/>
        <v>-12.24858375264516</v>
      </c>
      <c r="G54" s="5">
        <f t="shared" si="34"/>
        <v>4.455353788353162</v>
      </c>
      <c r="H54" s="5">
        <f t="shared" si="35"/>
        <v>4.462366938008766</v>
      </c>
    </row>
    <row r="55" spans="1:17" ht="18" customHeight="1" thickBot="1" x14ac:dyDescent="0.3">
      <c r="A55" s="1">
        <v>13</v>
      </c>
      <c r="B55" s="5">
        <f t="shared" si="29"/>
        <v>4.4181590482154034</v>
      </c>
      <c r="C55" s="5">
        <f t="shared" si="30"/>
        <v>4.4995616781465246</v>
      </c>
      <c r="D55" s="5">
        <f t="shared" si="31"/>
        <v>-12.24330205861099</v>
      </c>
      <c r="E55" s="5" t="str">
        <f t="shared" si="32"/>
        <v>&gt;</v>
      </c>
      <c r="F55" s="5">
        <f t="shared" si="33"/>
        <v>-12.249999807873955</v>
      </c>
      <c r="G55" s="5">
        <f t="shared" si="34"/>
        <v>4.4181590482154034</v>
      </c>
      <c r="H55" s="5">
        <f t="shared" si="35"/>
        <v>4.462366938008766</v>
      </c>
    </row>
    <row r="56" spans="1:17" ht="18" customHeight="1" thickBot="1" x14ac:dyDescent="0.3">
      <c r="A56" s="1">
        <v>14</v>
      </c>
      <c r="B56" s="5">
        <f t="shared" si="29"/>
        <v>4.4995616781465246</v>
      </c>
      <c r="C56" s="5">
        <f t="shared" si="30"/>
        <v>4.3809643080776457</v>
      </c>
      <c r="D56" s="5">
        <f t="shared" si="31"/>
        <v>-12.249999807873955</v>
      </c>
      <c r="E56" s="5" t="str">
        <f t="shared" si="32"/>
        <v>&lt;=</v>
      </c>
      <c r="F56" s="5">
        <f t="shared" si="33"/>
        <v>-12.235830504048565</v>
      </c>
      <c r="G56" s="5">
        <f t="shared" si="34"/>
        <v>4.4181590482154034</v>
      </c>
      <c r="H56" s="5">
        <f t="shared" si="35"/>
        <v>4.3809643080776457</v>
      </c>
    </row>
    <row r="57" spans="1:17" ht="18" customHeight="1" thickBot="1" x14ac:dyDescent="0.3">
      <c r="A57" s="1">
        <v>15</v>
      </c>
      <c r="B57" s="5">
        <f t="shared" si="29"/>
        <v>4.2995616781465245</v>
      </c>
      <c r="C57" s="5">
        <f t="shared" si="30"/>
        <v>4.4995616781465246</v>
      </c>
      <c r="D57" s="5">
        <f t="shared" si="31"/>
        <v>-12.209824479132564</v>
      </c>
      <c r="E57" s="5" t="str">
        <f t="shared" ref="E57" si="36">IF(D57&gt;F57,"&gt;","&lt;=")</f>
        <v>&gt;</v>
      </c>
      <c r="F57" s="5">
        <f t="shared" si="33"/>
        <v>-12.249999807873955</v>
      </c>
      <c r="G57" s="5">
        <f t="shared" si="34"/>
        <v>4.2995616781465245</v>
      </c>
      <c r="H57" s="5">
        <f t="shared" si="35"/>
        <v>4.3809643080776457</v>
      </c>
    </row>
    <row r="60" spans="1:17" ht="18" customHeight="1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spans="1:17" ht="18" customHeight="1" thickBot="1" x14ac:dyDescent="0.3"/>
    <row r="62" spans="1:17" ht="18" customHeight="1" x14ac:dyDescent="0.25">
      <c r="A62" s="15" t="s">
        <v>7</v>
      </c>
      <c r="B62" s="15" t="s">
        <v>8</v>
      </c>
      <c r="C62" s="15" t="s">
        <v>9</v>
      </c>
      <c r="D62" s="15" t="s">
        <v>10</v>
      </c>
      <c r="E62" s="15" t="s">
        <v>11</v>
      </c>
      <c r="F62" s="15" t="s">
        <v>12</v>
      </c>
      <c r="G62" s="15" t="s">
        <v>13</v>
      </c>
      <c r="H62" s="15" t="s">
        <v>14</v>
      </c>
    </row>
    <row r="63" spans="1:17" ht="18" customHeight="1" thickBot="1" x14ac:dyDescent="0.3">
      <c r="A63" s="16"/>
      <c r="B63" s="16"/>
      <c r="C63" s="16"/>
      <c r="D63" s="16"/>
      <c r="E63" s="16"/>
      <c r="F63" s="16"/>
      <c r="G63" s="16"/>
      <c r="H63" s="16"/>
      <c r="K63" s="2" t="s">
        <v>19</v>
      </c>
      <c r="L63" s="2">
        <f>(3-SQRT(5))/2</f>
        <v>0.3819660112501051</v>
      </c>
    </row>
    <row r="64" spans="1:17" ht="18" customHeight="1" thickBot="1" x14ac:dyDescent="0.3">
      <c r="A64" s="1">
        <v>0</v>
      </c>
      <c r="B64" s="5" t="s">
        <v>15</v>
      </c>
      <c r="C64" s="5" t="s">
        <v>15</v>
      </c>
      <c r="D64" s="5" t="s">
        <v>15</v>
      </c>
      <c r="E64" s="5"/>
      <c r="F64" s="5" t="s">
        <v>15</v>
      </c>
      <c r="G64" s="5">
        <v>0</v>
      </c>
      <c r="H64" s="5">
        <v>8</v>
      </c>
      <c r="K64" s="2" t="s">
        <v>20</v>
      </c>
      <c r="L64" s="2">
        <f>(SQRT(5)-1)/2</f>
        <v>0.6180339887498949</v>
      </c>
    </row>
    <row r="65" spans="1:8" ht="18" customHeight="1" thickBot="1" x14ac:dyDescent="0.3">
      <c r="A65" s="1">
        <v>1</v>
      </c>
      <c r="B65" s="5">
        <f>G64+$L$63*(H64-G64)</f>
        <v>3.0557280900008408</v>
      </c>
      <c r="C65" s="5">
        <f>G64+$L$64*(H64-G64)</f>
        <v>4.9442719099991592</v>
      </c>
      <c r="D65" s="5">
        <f>POWER(B65,2)-9*B65+8</f>
        <v>-10.164078649987381</v>
      </c>
      <c r="E65" s="5" t="str">
        <f>IF(D65&gt;F65,"&gt;","&lt;=")</f>
        <v>&gt;</v>
      </c>
      <c r="F65" s="5">
        <f>POWER(C65,2)-9*C65+8</f>
        <v>-12.0526224699857</v>
      </c>
      <c r="G65" s="5">
        <f>IF(E65="&gt;",B65,G64)</f>
        <v>3.0557280900008408</v>
      </c>
      <c r="H65" s="5">
        <f>IF(E65="&lt;=",C65,H64)</f>
        <v>8</v>
      </c>
    </row>
    <row r="66" spans="1:8" ht="18" customHeight="1" thickBot="1" x14ac:dyDescent="0.3">
      <c r="A66" s="1">
        <v>2</v>
      </c>
      <c r="B66" s="5">
        <f>IF(E65="&gt;",C65,G65+$L$63*(H65-G65))</f>
        <v>4.9442719099991592</v>
      </c>
      <c r="C66" s="5">
        <f>IF(E65="&lt;=",B65,G65+$L$64*(H65-G65))</f>
        <v>6.1114561800016824</v>
      </c>
      <c r="D66" s="5">
        <f t="shared" ref="D66:D79" si="37">POWER(B66,2)-9*B66+8</f>
        <v>-12.0526224699857</v>
      </c>
      <c r="E66" s="5" t="str">
        <f t="shared" ref="E66:E79" si="38">IF(D66&gt;F66,"&gt;","&lt;=")</f>
        <v>&lt;=</v>
      </c>
      <c r="F66" s="5">
        <f t="shared" ref="F66:F79" si="39">POWER(C66,2)-9*C66+8</f>
        <v>-9.6532089799343836</v>
      </c>
      <c r="G66" s="5">
        <f t="shared" ref="G66" si="40">IF(E66="&gt;",B66,G65)</f>
        <v>3.0557280900008408</v>
      </c>
      <c r="H66" s="5">
        <f>IF(E66="&lt;=",C66,H65)</f>
        <v>6.1114561800016824</v>
      </c>
    </row>
    <row r="67" spans="1:8" ht="18" customHeight="1" thickBot="1" x14ac:dyDescent="0.3">
      <c r="A67" s="1">
        <v>3</v>
      </c>
      <c r="B67" s="5">
        <f t="shared" ref="B67:B79" si="41">IF(E66="&gt;",C66,G66+$L$63*(H66-G66))</f>
        <v>4.2229123600033649</v>
      </c>
      <c r="C67" s="5">
        <f t="shared" ref="C67:C79" si="42">IF(E66="&lt;=",B66,G66+$L$64*(H66-G66))</f>
        <v>4.9442719099991592</v>
      </c>
      <c r="D67" s="5">
        <f t="shared" si="37"/>
        <v>-12.173222439761094</v>
      </c>
      <c r="E67" s="5" t="str">
        <f t="shared" si="38"/>
        <v>&lt;=</v>
      </c>
      <c r="F67" s="5">
        <f t="shared" si="39"/>
        <v>-12.0526224699857</v>
      </c>
      <c r="G67" s="5">
        <f>IF(E67="&gt;",B67,G66)</f>
        <v>3.0557280900008408</v>
      </c>
      <c r="H67" s="5">
        <f t="shared" ref="H67" si="43">IF(E67="&lt;=",C67,H66)</f>
        <v>4.9442719099991592</v>
      </c>
    </row>
    <row r="68" spans="1:8" ht="18" customHeight="1" thickBot="1" x14ac:dyDescent="0.3">
      <c r="A68" s="1">
        <v>4</v>
      </c>
      <c r="B68" s="5">
        <f t="shared" si="41"/>
        <v>3.7770876399966351</v>
      </c>
      <c r="C68" s="5">
        <f t="shared" si="42"/>
        <v>4.2229123600033649</v>
      </c>
      <c r="D68" s="5">
        <f t="shared" si="37"/>
        <v>-11.727397719754368</v>
      </c>
      <c r="E68" s="5" t="str">
        <f t="shared" si="38"/>
        <v>&gt;</v>
      </c>
      <c r="F68" s="5">
        <f t="shared" si="39"/>
        <v>-12.173222439761094</v>
      </c>
      <c r="G68" s="5">
        <f t="shared" ref="G68" si="44">IF(E68="&gt;",B68,G67)</f>
        <v>3.7770876399966351</v>
      </c>
      <c r="H68" s="5">
        <f>IF(E68="&lt;=",C68,H67)</f>
        <v>4.9442719099991592</v>
      </c>
    </row>
    <row r="69" spans="1:8" ht="18" customHeight="1" thickBot="1" x14ac:dyDescent="0.3">
      <c r="A69" s="1">
        <v>5</v>
      </c>
      <c r="B69" s="5">
        <f t="shared" si="41"/>
        <v>4.2229123600033649</v>
      </c>
      <c r="C69" s="5">
        <f t="shared" si="42"/>
        <v>4.4984471899924294</v>
      </c>
      <c r="D69" s="5">
        <f t="shared" si="37"/>
        <v>-12.173222439761094</v>
      </c>
      <c r="E69" s="5" t="str">
        <f t="shared" si="38"/>
        <v>&gt;</v>
      </c>
      <c r="F69" s="5">
        <f t="shared" si="39"/>
        <v>-12.249997588781085</v>
      </c>
      <c r="G69" s="5">
        <f>IF(E69="&gt;",B69,G68)</f>
        <v>4.2229123600033649</v>
      </c>
      <c r="H69" s="5">
        <f t="shared" ref="H69" si="45">IF(E69="&lt;=",C69,H68)</f>
        <v>4.9442719099991592</v>
      </c>
    </row>
    <row r="70" spans="1:8" ht="18" customHeight="1" thickBot="1" x14ac:dyDescent="0.3">
      <c r="A70" s="1">
        <v>6</v>
      </c>
      <c r="B70" s="5">
        <f t="shared" si="41"/>
        <v>4.4984471899924294</v>
      </c>
      <c r="C70" s="5">
        <f t="shared" si="42"/>
        <v>4.6687370800100947</v>
      </c>
      <c r="D70" s="5">
        <f t="shared" si="37"/>
        <v>-12.249997588781085</v>
      </c>
      <c r="E70" s="5" t="str">
        <f t="shared" si="38"/>
        <v>&lt;=</v>
      </c>
      <c r="F70" s="5">
        <f t="shared" si="39"/>
        <v>-12.221527797829669</v>
      </c>
      <c r="G70" s="5">
        <f t="shared" ref="G70" si="46">IF(E70="&gt;",B70,G69)</f>
        <v>4.2229123600033649</v>
      </c>
      <c r="H70" s="5">
        <f>IF(E70="&lt;=",C70,H69)</f>
        <v>4.6687370800100947</v>
      </c>
    </row>
    <row r="71" spans="1:8" ht="18" customHeight="1" thickBot="1" x14ac:dyDescent="0.3">
      <c r="A71" s="1">
        <v>7</v>
      </c>
      <c r="B71" s="5">
        <f t="shared" si="41"/>
        <v>4.3932022500210302</v>
      </c>
      <c r="C71" s="5">
        <f t="shared" si="42"/>
        <v>4.4984471899924294</v>
      </c>
      <c r="D71" s="5">
        <f t="shared" si="37"/>
        <v>-12.238594240599433</v>
      </c>
      <c r="E71" s="5" t="str">
        <f t="shared" si="38"/>
        <v>&gt;</v>
      </c>
      <c r="F71" s="5">
        <f t="shared" si="39"/>
        <v>-12.249997588781085</v>
      </c>
      <c r="G71" s="5">
        <f>IF(E71="&gt;",B71,G70)</f>
        <v>4.3932022500210302</v>
      </c>
      <c r="H71" s="5">
        <f t="shared" ref="H71" si="47">IF(E71="&lt;=",C71,H70)</f>
        <v>4.6687370800100947</v>
      </c>
    </row>
    <row r="72" spans="1:8" ht="18" customHeight="1" thickBot="1" x14ac:dyDescent="0.3">
      <c r="A72" s="1">
        <v>8</v>
      </c>
      <c r="B72" s="5">
        <f t="shared" si="41"/>
        <v>4.4984471899924294</v>
      </c>
      <c r="C72" s="5">
        <f t="shared" si="42"/>
        <v>4.5634921400386954</v>
      </c>
      <c r="D72" s="5">
        <f t="shared" si="37"/>
        <v>-12.249997588781085</v>
      </c>
      <c r="E72" s="5" t="str">
        <f t="shared" si="38"/>
        <v>&lt;=</v>
      </c>
      <c r="F72" s="5">
        <f t="shared" si="39"/>
        <v>-12.245968748153309</v>
      </c>
      <c r="G72" s="5">
        <f t="shared" ref="G72" si="48">IF(E72="&gt;",B72,G71)</f>
        <v>4.3932022500210302</v>
      </c>
      <c r="H72" s="5">
        <f>IF(E72="&lt;=",C72,H71)</f>
        <v>4.5634921400386954</v>
      </c>
    </row>
    <row r="73" spans="1:8" ht="18" customHeight="1" thickBot="1" x14ac:dyDescent="0.3">
      <c r="A73" s="1">
        <v>9</v>
      </c>
      <c r="B73" s="5">
        <f t="shared" si="41"/>
        <v>4.458247200067297</v>
      </c>
      <c r="C73" s="5">
        <f t="shared" si="42"/>
        <v>4.4984471899924294</v>
      </c>
      <c r="D73" s="5">
        <f t="shared" si="37"/>
        <v>-12.248256703697781</v>
      </c>
      <c r="E73" s="5" t="str">
        <f t="shared" si="38"/>
        <v>&gt;</v>
      </c>
      <c r="F73" s="5">
        <f t="shared" si="39"/>
        <v>-12.249997588781085</v>
      </c>
      <c r="G73" s="5">
        <f>IF(E73="&gt;",B73,G72)</f>
        <v>4.458247200067297</v>
      </c>
      <c r="H73" s="5">
        <f t="shared" ref="H73" si="49">IF(E73="&lt;=",C73,H72)</f>
        <v>4.5634921400386954</v>
      </c>
    </row>
    <row r="74" spans="1:8" ht="18" customHeight="1" thickBot="1" x14ac:dyDescent="0.3">
      <c r="A74" s="1">
        <v>10</v>
      </c>
      <c r="B74" s="5">
        <f t="shared" si="41"/>
        <v>4.4984471899924294</v>
      </c>
      <c r="C74" s="5">
        <f t="shared" si="42"/>
        <v>4.5232921501135639</v>
      </c>
      <c r="D74" s="5">
        <f t="shared" si="37"/>
        <v>-12.249997588781085</v>
      </c>
      <c r="E74" s="5" t="str">
        <f t="shared" si="38"/>
        <v>&lt;=</v>
      </c>
      <c r="F74" s="5">
        <f t="shared" si="39"/>
        <v>-12.249457475743085</v>
      </c>
      <c r="G74" s="5">
        <f t="shared" ref="G74" si="50">IF(E74="&gt;",B74,G73)</f>
        <v>4.458247200067297</v>
      </c>
      <c r="H74" s="5">
        <f>IF(E74="&lt;=",C74,H73)</f>
        <v>4.5232921501135639</v>
      </c>
    </row>
    <row r="75" spans="1:8" ht="18" customHeight="1" thickBot="1" x14ac:dyDescent="0.3">
      <c r="A75" s="1">
        <v>11</v>
      </c>
      <c r="B75" s="5">
        <f t="shared" si="41"/>
        <v>4.4830921601884315</v>
      </c>
      <c r="C75" s="5">
        <f t="shared" si="42"/>
        <v>4.4984471899924294</v>
      </c>
      <c r="D75" s="5">
        <f t="shared" si="37"/>
        <v>-12.249714124952909</v>
      </c>
      <c r="E75" s="5" t="str">
        <f t="shared" si="38"/>
        <v>&gt;</v>
      </c>
      <c r="F75" s="5">
        <f t="shared" si="39"/>
        <v>-12.249997588781085</v>
      </c>
      <c r="G75" s="5">
        <f>IF(E75="&gt;",B75,G74)</f>
        <v>4.4830921601884315</v>
      </c>
      <c r="H75" s="5">
        <f>IF(E75="&lt;=",C75,H74)</f>
        <v>4.5232921501135639</v>
      </c>
    </row>
    <row r="76" spans="1:8" ht="18" customHeight="1" thickBot="1" x14ac:dyDescent="0.3">
      <c r="A76" s="1">
        <v>12</v>
      </c>
      <c r="B76" s="5">
        <f t="shared" si="41"/>
        <v>4.4984471899924294</v>
      </c>
      <c r="C76" s="5">
        <f t="shared" si="42"/>
        <v>4.5079371203095668</v>
      </c>
      <c r="D76" s="5">
        <f t="shared" si="37"/>
        <v>-12.249997588781085</v>
      </c>
      <c r="E76" s="5" t="str">
        <f t="shared" si="38"/>
        <v>&lt;=</v>
      </c>
      <c r="F76" s="5">
        <f t="shared" si="39"/>
        <v>-12.24993700212119</v>
      </c>
      <c r="G76" s="5">
        <f t="shared" ref="G76:G79" si="51">IF(E76="&gt;",B76,G75)</f>
        <v>4.4830921601884315</v>
      </c>
      <c r="H76" s="5">
        <f>IF(E76="&lt;=",C76,H75)</f>
        <v>4.5079371203095668</v>
      </c>
    </row>
    <row r="77" spans="1:8" ht="18" customHeight="1" thickBot="1" x14ac:dyDescent="0.3">
      <c r="A77" s="1">
        <v>13</v>
      </c>
      <c r="B77" s="5">
        <f t="shared" si="41"/>
        <v>4.4925820905055698</v>
      </c>
      <c r="C77" s="5">
        <f t="shared" si="42"/>
        <v>4.4984471899924294</v>
      </c>
      <c r="D77" s="5">
        <f t="shared" si="37"/>
        <v>-12.249944974618735</v>
      </c>
      <c r="E77" s="5" t="str">
        <f t="shared" si="38"/>
        <v>&gt;</v>
      </c>
      <c r="F77" s="5">
        <f t="shared" si="39"/>
        <v>-12.249997588781085</v>
      </c>
      <c r="G77" s="5">
        <f t="shared" si="51"/>
        <v>4.4925820905055698</v>
      </c>
      <c r="H77" s="5">
        <f t="shared" ref="H77" si="52">IF(E77="&lt;=",C77,H76)</f>
        <v>4.5079371203095668</v>
      </c>
    </row>
    <row r="78" spans="1:8" ht="18" customHeight="1" thickBot="1" x14ac:dyDescent="0.3">
      <c r="A78" s="1">
        <v>14</v>
      </c>
      <c r="B78" s="5">
        <f t="shared" si="41"/>
        <v>4.4984471899924294</v>
      </c>
      <c r="C78" s="5">
        <f t="shared" si="42"/>
        <v>4.5020720208227072</v>
      </c>
      <c r="D78" s="5">
        <f t="shared" si="37"/>
        <v>-12.249997588781085</v>
      </c>
      <c r="E78" s="5" t="str">
        <f t="shared" si="38"/>
        <v>&lt;=</v>
      </c>
      <c r="F78" s="5">
        <f t="shared" si="39"/>
        <v>-12.249995706729713</v>
      </c>
      <c r="G78" s="5">
        <f t="shared" si="51"/>
        <v>4.4925820905055698</v>
      </c>
      <c r="H78" s="5">
        <f>IF(E78="&lt;=",C78,H77)</f>
        <v>4.5020720208227072</v>
      </c>
    </row>
    <row r="79" spans="1:8" ht="18" customHeight="1" thickBot="1" x14ac:dyDescent="0.3">
      <c r="A79" s="1">
        <v>15</v>
      </c>
      <c r="B79" s="5">
        <f t="shared" si="41"/>
        <v>4.4962069213358484</v>
      </c>
      <c r="C79" s="5">
        <f t="shared" si="42"/>
        <v>4.4984471899924294</v>
      </c>
      <c r="D79" s="5">
        <f t="shared" si="37"/>
        <v>-12.249985612554248</v>
      </c>
      <c r="E79" s="5" t="str">
        <f t="shared" si="38"/>
        <v>&gt;</v>
      </c>
      <c r="F79" s="5">
        <f t="shared" si="39"/>
        <v>-12.249997588781085</v>
      </c>
      <c r="G79" s="5">
        <f t="shared" si="51"/>
        <v>4.4962069213358484</v>
      </c>
      <c r="H79" s="5">
        <f>IF(E79="&lt;=",C79,H78)</f>
        <v>4.5020720208227072</v>
      </c>
    </row>
    <row r="81" spans="1:17" ht="18" customHeight="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</row>
  </sheetData>
  <mergeCells count="24">
    <mergeCell ref="G62:G63"/>
    <mergeCell ref="H62:H63"/>
    <mergeCell ref="A62:A63"/>
    <mergeCell ref="B62:B63"/>
    <mergeCell ref="C62:C63"/>
    <mergeCell ref="D62:D63"/>
    <mergeCell ref="E62:E63"/>
    <mergeCell ref="F62:F63"/>
    <mergeCell ref="H24:H25"/>
    <mergeCell ref="A40:A41"/>
    <mergeCell ref="B40:B41"/>
    <mergeCell ref="C40:C41"/>
    <mergeCell ref="D40:D41"/>
    <mergeCell ref="E40:E41"/>
    <mergeCell ref="F40:F41"/>
    <mergeCell ref="G40:G41"/>
    <mergeCell ref="H40:H41"/>
    <mergeCell ref="A24:A25"/>
    <mergeCell ref="B24:B25"/>
    <mergeCell ref="C24:C25"/>
    <mergeCell ref="D24:D25"/>
    <mergeCell ref="E24:E25"/>
    <mergeCell ref="F24:F25"/>
    <mergeCell ref="G24:G2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2017-11-26T09:10:44Z</dcterms:modified>
</cp:coreProperties>
</file>