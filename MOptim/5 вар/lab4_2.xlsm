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niversity\5_sem\Programs\MOptim\"/>
    </mc:Choice>
  </mc:AlternateContent>
  <bookViews>
    <workbookView xWindow="0" yWindow="0" windowWidth="20490" windowHeight="8205"/>
  </bookViews>
  <sheets>
    <sheet name="задача2" sheetId="2" r:id="rId1"/>
    <sheet name="Лист3" sheetId="3" r:id="rId2"/>
  </sheets>
  <functionGroups builtInGroupCount="18"/>
  <definedNames>
    <definedName name="solver_adj" localSheetId="0" hidden="1">задача2!$G$14:$G$18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задача2!$J$19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задача2!$C$22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задача2!$C$23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C10" i="2" l="1"/>
  <c r="G3" i="2"/>
  <c r="G4" i="2"/>
  <c r="B6" i="3" l="1"/>
  <c r="C6" i="3" l="1"/>
  <c r="D14" i="2"/>
  <c r="E14" i="2"/>
  <c r="F14" i="2"/>
  <c r="D15" i="2"/>
  <c r="E15" i="2"/>
  <c r="I15" i="2" s="1"/>
  <c r="F15" i="2"/>
  <c r="J15" i="2" s="1"/>
  <c r="D16" i="2"/>
  <c r="E16" i="2"/>
  <c r="F16" i="2"/>
  <c r="J16" i="2" s="1"/>
  <c r="D17" i="2"/>
  <c r="E17" i="2"/>
  <c r="I17" i="2" s="1"/>
  <c r="F17" i="2"/>
  <c r="J17" i="2" s="1"/>
  <c r="D18" i="2"/>
  <c r="E18" i="2"/>
  <c r="F18" i="2"/>
  <c r="C15" i="2"/>
  <c r="C16" i="2"/>
  <c r="C17" i="2"/>
  <c r="C18" i="2"/>
  <c r="C14" i="2"/>
  <c r="J18" i="2"/>
  <c r="H15" i="2" l="1"/>
  <c r="H17" i="2"/>
  <c r="H14" i="2"/>
  <c r="J14" i="2"/>
  <c r="J19" i="2" s="1"/>
  <c r="I18" i="2"/>
  <c r="H16" i="2"/>
  <c r="H18" i="2"/>
  <c r="I14" i="2"/>
  <c r="I16" i="2"/>
  <c r="I4" i="2"/>
  <c r="G5" i="2"/>
  <c r="J5" i="2" s="1"/>
  <c r="G6" i="2"/>
  <c r="J6" i="2" s="1"/>
  <c r="G7" i="2"/>
  <c r="J7" i="2" s="1"/>
  <c r="I3" i="2"/>
  <c r="I19" i="2" l="1"/>
  <c r="H19" i="2"/>
  <c r="H7" i="2"/>
  <c r="I7" i="2"/>
  <c r="I6" i="2"/>
  <c r="H6" i="2"/>
  <c r="H5" i="2"/>
  <c r="I5" i="2"/>
  <c r="J4" i="2"/>
  <c r="H4" i="2"/>
  <c r="H3" i="2"/>
  <c r="J3" i="2"/>
  <c r="I8" i="2" l="1"/>
  <c r="C22" i="2"/>
  <c r="J8" i="2"/>
  <c r="H8" i="2"/>
  <c r="D6" i="3" l="1"/>
  <c r="E6" i="3" l="1"/>
</calcChain>
</file>

<file path=xl/sharedStrings.xml><?xml version="1.0" encoding="utf-8"?>
<sst xmlns="http://schemas.openxmlformats.org/spreadsheetml/2006/main" count="28" uniqueCount="17">
  <si>
    <t>N</t>
  </si>
  <si>
    <t>i</t>
  </si>
  <si>
    <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</si>
  <si>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V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/q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</si>
  <si>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</si>
  <si>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</si>
  <si>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</si>
  <si>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</si>
  <si>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</si>
  <si>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V</t>
    </r>
    <r>
      <rPr>
        <vertAlign val="subscript"/>
        <sz val="12"/>
        <color theme="1"/>
        <rFont val="Times New Roman"/>
        <family val="1"/>
        <charset val="204"/>
      </rPr>
      <t>i</t>
    </r>
  </si>
  <si>
    <t>∑</t>
  </si>
  <si>
    <t>L</t>
  </si>
  <si>
    <t>F</t>
  </si>
  <si>
    <t>e2</t>
  </si>
  <si>
    <t>e1</t>
  </si>
  <si>
    <t>x2</t>
  </si>
  <si>
    <t>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</si>
</sst>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rgb="FF808080"/>
      </right>
      <top/>
      <bottom/>
      <diagonal/>
    </border>
    <border>
      <left style="double">
        <color rgb="FF808080"/>
      </left>
      <right/>
      <top/>
      <bottom/>
      <diagonal/>
    </border>
    <border>
      <left/>
      <right style="double">
        <color rgb="FF808080"/>
      </right>
      <top style="double">
        <color rgb="FF808080"/>
      </top>
      <bottom/>
      <diagonal/>
    </border>
    <border>
      <left/>
      <right/>
      <top style="double">
        <color rgb="FF808080"/>
      </top>
      <bottom/>
      <diagonal/>
    </border>
    <border>
      <left style="double">
        <color rgb="FF808080"/>
      </left>
      <right/>
      <top style="double">
        <color rgb="FF80808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J23"/>
  <sheetViews>
    <sheetView tabSelected="1" zoomScale="90" zoomScaleNormal="90" workbookViewId="0">
      <selection activeCell="G21" sqref="G21"/>
    </sheetView>
  </sheetViews>
  <sheetFormatPr defaultRowHeight="15" x14ac:dyDescent="0.25"/>
  <cols>
    <col min="7" max="7" width="5.5703125" customWidth="1"/>
  </cols>
  <sheetData>
    <row r="1" spans="2:10" ht="15.75" thickBot="1" x14ac:dyDescent="0.3"/>
    <row r="2" spans="2:10" ht="19.5" thickBot="1" x14ac:dyDescent="0.3">
      <c r="B2" s="2" t="s">
        <v>1</v>
      </c>
      <c r="C2" s="6" t="s">
        <v>9</v>
      </c>
      <c r="D2" s="6" t="s">
        <v>8</v>
      </c>
      <c r="E2" s="6" t="s">
        <v>7</v>
      </c>
      <c r="F2" s="6" t="s">
        <v>6</v>
      </c>
      <c r="G2" s="6" t="s">
        <v>2</v>
      </c>
      <c r="H2" s="6" t="s">
        <v>3</v>
      </c>
      <c r="I2" s="6" t="s">
        <v>4</v>
      </c>
      <c r="J2" s="6" t="s">
        <v>5</v>
      </c>
    </row>
    <row r="3" spans="2:10" ht="16.5" thickBot="1" x14ac:dyDescent="0.3">
      <c r="B3" s="3">
        <v>1</v>
      </c>
      <c r="C3" s="4">
        <v>3000</v>
      </c>
      <c r="D3" s="4">
        <v>4</v>
      </c>
      <c r="E3" s="4">
        <v>40</v>
      </c>
      <c r="F3" s="4">
        <v>4</v>
      </c>
      <c r="G3" s="4">
        <f>SQRT(2*D3*C3/E3)</f>
        <v>24.494897427831781</v>
      </c>
      <c r="H3" s="4">
        <f>D3*C3/G3</f>
        <v>489.89794855663564</v>
      </c>
      <c r="I3" s="4">
        <f>E3*G3</f>
        <v>979.79589711327117</v>
      </c>
      <c r="J3" s="4">
        <f>F3*G3</f>
        <v>97.979589711327122</v>
      </c>
    </row>
    <row r="4" spans="2:10" ht="16.5" thickBot="1" x14ac:dyDescent="0.3">
      <c r="B4" s="3">
        <v>2</v>
      </c>
      <c r="C4" s="4">
        <v>5000</v>
      </c>
      <c r="D4" s="4">
        <v>6</v>
      </c>
      <c r="E4" s="4">
        <v>6</v>
      </c>
      <c r="F4" s="4">
        <v>3</v>
      </c>
      <c r="G4" s="4">
        <f>SQRT(2*D4*C4/E4)</f>
        <v>100</v>
      </c>
      <c r="H4" s="4">
        <f t="shared" ref="H4:H7" si="0">D4*C4/G4</f>
        <v>300</v>
      </c>
      <c r="I4" s="4">
        <f t="shared" ref="I4:I7" si="1">E4*G4</f>
        <v>600</v>
      </c>
      <c r="J4" s="4">
        <f t="shared" ref="J4:J7" si="2">F4*G4</f>
        <v>300</v>
      </c>
    </row>
    <row r="5" spans="2:10" ht="16.5" thickBot="1" x14ac:dyDescent="0.3">
      <c r="B5" s="3">
        <v>3</v>
      </c>
      <c r="C5" s="4">
        <v>6400</v>
      </c>
      <c r="D5" s="4">
        <v>7</v>
      </c>
      <c r="E5" s="4">
        <v>14</v>
      </c>
      <c r="F5" s="4">
        <v>5</v>
      </c>
      <c r="G5" s="4">
        <f t="shared" ref="G4:G7" si="3">SQRT(2*D5*C5/E5)</f>
        <v>80</v>
      </c>
      <c r="H5" s="4">
        <f t="shared" si="0"/>
        <v>560</v>
      </c>
      <c r="I5" s="4">
        <f t="shared" si="1"/>
        <v>1120</v>
      </c>
      <c r="J5" s="4">
        <f t="shared" si="2"/>
        <v>400</v>
      </c>
    </row>
    <row r="6" spans="2:10" ht="16.5" thickBot="1" x14ac:dyDescent="0.3">
      <c r="B6" s="3">
        <v>4</v>
      </c>
      <c r="C6" s="4">
        <v>1500</v>
      </c>
      <c r="D6" s="4">
        <v>6</v>
      </c>
      <c r="E6" s="4">
        <v>6</v>
      </c>
      <c r="F6" s="4">
        <v>40</v>
      </c>
      <c r="G6" s="4">
        <f t="shared" si="3"/>
        <v>54.772255750516614</v>
      </c>
      <c r="H6" s="4">
        <f t="shared" si="0"/>
        <v>164.31676725154983</v>
      </c>
      <c r="I6" s="4">
        <f t="shared" si="1"/>
        <v>328.63353450309967</v>
      </c>
      <c r="J6" s="4">
        <f t="shared" si="2"/>
        <v>2190.8902300206646</v>
      </c>
    </row>
    <row r="7" spans="2:10" ht="16.5" thickBot="1" x14ac:dyDescent="0.3">
      <c r="B7" s="3">
        <v>5</v>
      </c>
      <c r="C7" s="4">
        <v>80</v>
      </c>
      <c r="D7" s="4">
        <v>4</v>
      </c>
      <c r="E7" s="4">
        <v>16</v>
      </c>
      <c r="F7" s="4">
        <v>20</v>
      </c>
      <c r="G7" s="4">
        <f t="shared" si="3"/>
        <v>6.324555320336759</v>
      </c>
      <c r="H7" s="4">
        <f t="shared" si="0"/>
        <v>50.596442562694065</v>
      </c>
      <c r="I7" s="4">
        <f t="shared" si="1"/>
        <v>101.19288512538814</v>
      </c>
      <c r="J7" s="4">
        <f t="shared" si="2"/>
        <v>126.49110640673518</v>
      </c>
    </row>
    <row r="8" spans="2:10" ht="16.5" thickBot="1" x14ac:dyDescent="0.3">
      <c r="B8" s="1"/>
      <c r="C8" s="1"/>
      <c r="D8" s="1"/>
      <c r="E8" s="1"/>
      <c r="F8" s="7"/>
      <c r="G8" s="8" t="s">
        <v>10</v>
      </c>
      <c r="H8" s="5">
        <f>SUM(H3:H7)</f>
        <v>1564.8111583708796</v>
      </c>
      <c r="I8" s="5">
        <f t="shared" ref="I8:J8" si="4">SUM(I3:I7)</f>
        <v>3129.6223167417593</v>
      </c>
      <c r="J8" s="5">
        <f t="shared" si="4"/>
        <v>3115.3609261387269</v>
      </c>
    </row>
    <row r="9" spans="2:10" ht="15.75" thickBot="1" x14ac:dyDescent="0.3"/>
    <row r="10" spans="2:10" ht="16.5" thickBot="1" x14ac:dyDescent="0.3">
      <c r="B10" s="9" t="s">
        <v>11</v>
      </c>
      <c r="C10" s="10">
        <f>H8+I8/2</f>
        <v>3129.6223167417593</v>
      </c>
    </row>
    <row r="12" spans="2:10" ht="15.75" thickBot="1" x14ac:dyDescent="0.3"/>
    <row r="13" spans="2:10" ht="19.5" thickBot="1" x14ac:dyDescent="0.3">
      <c r="B13" s="2" t="s">
        <v>1</v>
      </c>
      <c r="C13" s="6" t="s">
        <v>9</v>
      </c>
      <c r="D13" s="6" t="s">
        <v>8</v>
      </c>
      <c r="E13" s="6" t="s">
        <v>7</v>
      </c>
      <c r="F13" s="6" t="s">
        <v>6</v>
      </c>
      <c r="G13" s="6" t="s">
        <v>2</v>
      </c>
      <c r="H13" s="6" t="s">
        <v>3</v>
      </c>
      <c r="I13" s="6" t="s">
        <v>4</v>
      </c>
      <c r="J13" s="6" t="s">
        <v>5</v>
      </c>
    </row>
    <row r="14" spans="2:10" ht="16.5" thickBot="1" x14ac:dyDescent="0.3">
      <c r="B14" s="3">
        <v>1</v>
      </c>
      <c r="C14" s="4">
        <f>C3</f>
        <v>3000</v>
      </c>
      <c r="D14" s="4">
        <f t="shared" ref="D14:F14" si="5">D3</f>
        <v>4</v>
      </c>
      <c r="E14" s="4">
        <f t="shared" si="5"/>
        <v>40</v>
      </c>
      <c r="F14" s="4">
        <f t="shared" si="5"/>
        <v>4</v>
      </c>
      <c r="G14" s="4">
        <v>23.213485979955394</v>
      </c>
      <c r="H14" s="4">
        <f>D14*C14/G14</f>
        <v>516.94088558529631</v>
      </c>
      <c r="I14" s="4">
        <f>E14*G14</f>
        <v>928.53943919821575</v>
      </c>
      <c r="J14" s="4">
        <f>F14*G14</f>
        <v>92.853943919821575</v>
      </c>
    </row>
    <row r="15" spans="2:10" ht="16.5" thickBot="1" x14ac:dyDescent="0.3">
      <c r="B15" s="3">
        <v>2</v>
      </c>
      <c r="C15" s="4">
        <f t="shared" ref="C15:C18" si="6">C4</f>
        <v>5000</v>
      </c>
      <c r="D15" s="4">
        <f t="shared" ref="D15:F15" si="7">D4</f>
        <v>6</v>
      </c>
      <c r="E15" s="4">
        <f t="shared" si="7"/>
        <v>6</v>
      </c>
      <c r="F15" s="4">
        <f t="shared" si="7"/>
        <v>3</v>
      </c>
      <c r="G15" s="4">
        <v>79.880518055203055</v>
      </c>
      <c r="H15" s="4">
        <f t="shared" ref="H15:H18" si="8">D15*C15/G15</f>
        <v>375.5609093479826</v>
      </c>
      <c r="I15" s="4">
        <f t="shared" ref="I15:I18" si="9">E15*G15</f>
        <v>479.28310833121833</v>
      </c>
      <c r="J15" s="4">
        <f t="shared" ref="J15:J18" si="10">F15*G15</f>
        <v>239.64155416560916</v>
      </c>
    </row>
    <row r="16" spans="2:10" ht="16.5" thickBot="1" x14ac:dyDescent="0.3">
      <c r="B16" s="3">
        <v>3</v>
      </c>
      <c r="C16" s="4">
        <f t="shared" si="6"/>
        <v>6400</v>
      </c>
      <c r="D16" s="4">
        <f t="shared" ref="D16:F16" si="11">D5</f>
        <v>7</v>
      </c>
      <c r="E16" s="4">
        <f t="shared" si="11"/>
        <v>14</v>
      </c>
      <c r="F16" s="4">
        <f t="shared" si="11"/>
        <v>5</v>
      </c>
      <c r="G16" s="4">
        <v>67.488579488819269</v>
      </c>
      <c r="H16" s="4">
        <f t="shared" si="8"/>
        <v>663.81601656650582</v>
      </c>
      <c r="I16" s="4">
        <f t="shared" si="9"/>
        <v>944.8401128434698</v>
      </c>
      <c r="J16" s="4">
        <f t="shared" si="10"/>
        <v>337.44289744409633</v>
      </c>
    </row>
    <row r="17" spans="2:10" ht="16.5" thickBot="1" x14ac:dyDescent="0.3">
      <c r="B17" s="3">
        <v>4</v>
      </c>
      <c r="C17" s="4">
        <f t="shared" si="6"/>
        <v>1500</v>
      </c>
      <c r="D17" s="4">
        <f t="shared" ref="D17:F17" si="12">D6</f>
        <v>6</v>
      </c>
      <c r="E17" s="4">
        <f t="shared" si="12"/>
        <v>6</v>
      </c>
      <c r="F17" s="4">
        <f t="shared" si="12"/>
        <v>40</v>
      </c>
      <c r="G17" s="4">
        <v>18.717903967080158</v>
      </c>
      <c r="H17" s="4">
        <f t="shared" si="8"/>
        <v>480.82306735992552</v>
      </c>
      <c r="I17" s="4">
        <f t="shared" si="9"/>
        <v>112.30742380248094</v>
      </c>
      <c r="J17" s="4">
        <f t="shared" si="10"/>
        <v>748.71615868320634</v>
      </c>
    </row>
    <row r="18" spans="2:10" ht="16.5" thickBot="1" x14ac:dyDescent="0.3">
      <c r="B18" s="3">
        <v>5</v>
      </c>
      <c r="C18" s="4">
        <f t="shared" si="6"/>
        <v>80</v>
      </c>
      <c r="D18" s="4">
        <f t="shared" ref="D18:F18" si="13">D7</f>
        <v>4</v>
      </c>
      <c r="E18" s="4">
        <f t="shared" si="13"/>
        <v>16</v>
      </c>
      <c r="F18" s="4">
        <f t="shared" si="13"/>
        <v>20</v>
      </c>
      <c r="G18" s="4">
        <v>4.0672722893632978</v>
      </c>
      <c r="H18" s="4">
        <f t="shared" si="8"/>
        <v>78.676807755620828</v>
      </c>
      <c r="I18" s="4">
        <f t="shared" si="9"/>
        <v>65.076356629812764</v>
      </c>
      <c r="J18" s="4">
        <f t="shared" si="10"/>
        <v>81.345445787265959</v>
      </c>
    </row>
    <row r="19" spans="2:10" ht="16.5" thickBot="1" x14ac:dyDescent="0.3">
      <c r="B19" s="1"/>
      <c r="C19" s="1"/>
      <c r="D19" s="1"/>
      <c r="E19" s="1"/>
      <c r="F19" s="7"/>
      <c r="G19" s="8" t="s">
        <v>10</v>
      </c>
      <c r="H19" s="5">
        <f>SUM(H14:H18)</f>
        <v>2115.8176866153312</v>
      </c>
      <c r="I19" s="5">
        <f t="shared" ref="I19:J19" si="14">SUM(I14:I18)</f>
        <v>2530.0464408051976</v>
      </c>
      <c r="J19" s="5">
        <f t="shared" si="14"/>
        <v>1499.9999999999993</v>
      </c>
    </row>
    <row r="21" spans="2:10" ht="15.75" thickBot="1" x14ac:dyDescent="0.3"/>
    <row r="22" spans="2:10" ht="16.5" thickBot="1" x14ac:dyDescent="0.3">
      <c r="B22" s="9" t="s">
        <v>11</v>
      </c>
      <c r="C22" s="10">
        <f>H19+I19/2</f>
        <v>3380.84090701793</v>
      </c>
    </row>
    <row r="23" spans="2:10" ht="16.5" thickBot="1" x14ac:dyDescent="0.3">
      <c r="B23" s="9" t="s">
        <v>12</v>
      </c>
      <c r="C23" s="10">
        <v>1500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27"/>
  <sheetViews>
    <sheetView zoomScale="90" zoomScaleNormal="90" workbookViewId="0">
      <selection activeCell="B6" sqref="B6"/>
    </sheetView>
  </sheetViews>
  <sheetFormatPr defaultRowHeight="15" x14ac:dyDescent="0.25"/>
  <sheetData>
    <row r="1" spans="1:5" ht="15.75" thickTop="1" x14ac:dyDescent="0.25">
      <c r="B1" s="24"/>
      <c r="C1" s="23"/>
      <c r="D1" s="22"/>
    </row>
    <row r="2" spans="1:5" x14ac:dyDescent="0.25">
      <c r="B2" s="21"/>
      <c r="D2" s="20"/>
    </row>
    <row r="3" spans="1:5" ht="15.75" thickBot="1" x14ac:dyDescent="0.3">
      <c r="B3" s="21"/>
      <c r="C3" s="15"/>
      <c r="D3" s="20"/>
    </row>
    <row r="4" spans="1:5" x14ac:dyDescent="0.25">
      <c r="A4" s="19" t="s">
        <v>0</v>
      </c>
      <c r="B4" s="18" t="s">
        <v>16</v>
      </c>
      <c r="C4" s="18" t="s">
        <v>15</v>
      </c>
      <c r="D4" s="18" t="s">
        <v>14</v>
      </c>
      <c r="E4" s="17" t="s">
        <v>13</v>
      </c>
    </row>
    <row r="5" spans="1:5" x14ac:dyDescent="0.25">
      <c r="A5" s="16">
        <v>1</v>
      </c>
      <c r="B5" s="15">
        <v>1</v>
      </c>
      <c r="C5" s="15">
        <v>1</v>
      </c>
      <c r="D5" s="15">
        <v>0</v>
      </c>
      <c r="E5" s="14">
        <v>0</v>
      </c>
    </row>
    <row r="6" spans="1:5" ht="15.75" thickBot="1" x14ac:dyDescent="0.3">
      <c r="A6" s="13">
        <v>2</v>
      </c>
      <c r="B6" s="12">
        <f>SQRT(94500/5.5)</f>
        <v>131.07943462579544</v>
      </c>
      <c r="C6" s="12">
        <f>SQRT(78650/4.5)</f>
        <v>132.20354676701294</v>
      </c>
      <c r="D6" s="12">
        <f t="shared" ref="D6" si="0">ABS(B6)-ABS(B5)</f>
        <v>130.07943462579544</v>
      </c>
      <c r="E6" s="11">
        <f t="shared" ref="E6" si="1">ABS(C6)-ABS(C5)</f>
        <v>131.20354676701294</v>
      </c>
    </row>
    <row r="7" spans="1:5" x14ac:dyDescent="0.25">
      <c r="A7" s="15"/>
      <c r="B7" s="15"/>
      <c r="C7" s="15"/>
      <c r="D7" s="15"/>
      <c r="E7" s="15"/>
    </row>
    <row r="8" spans="1:5" x14ac:dyDescent="0.25">
      <c r="A8" s="15"/>
      <c r="B8" s="15"/>
      <c r="C8" s="15"/>
      <c r="D8" s="15"/>
      <c r="E8" s="15"/>
    </row>
    <row r="9" spans="1:5" x14ac:dyDescent="0.25">
      <c r="A9" s="15"/>
      <c r="B9" s="15"/>
      <c r="C9" s="15"/>
      <c r="D9" s="15"/>
      <c r="E9" s="15"/>
    </row>
    <row r="10" spans="1:5" x14ac:dyDescent="0.25">
      <c r="A10" s="15"/>
      <c r="B10" s="15"/>
      <c r="C10" s="15"/>
      <c r="D10" s="15"/>
      <c r="E10" s="15"/>
    </row>
    <row r="11" spans="1:5" x14ac:dyDescent="0.25">
      <c r="A11" s="15"/>
      <c r="B11" s="15"/>
      <c r="C11" s="15"/>
      <c r="D11" s="15"/>
      <c r="E11" s="15"/>
    </row>
    <row r="12" spans="1:5" x14ac:dyDescent="0.25">
      <c r="A12" s="15"/>
      <c r="B12" s="15"/>
      <c r="C12" s="15"/>
      <c r="D12" s="15"/>
      <c r="E12" s="15"/>
    </row>
    <row r="13" spans="1:5" x14ac:dyDescent="0.25">
      <c r="A13" s="15"/>
      <c r="B13" s="15"/>
      <c r="C13" s="15"/>
      <c r="D13" s="15"/>
      <c r="E13" s="15"/>
    </row>
    <row r="14" spans="1:5" x14ac:dyDescent="0.25">
      <c r="A14" s="15"/>
      <c r="B14" s="15"/>
      <c r="C14" s="15"/>
      <c r="D14" s="15"/>
      <c r="E14" s="15"/>
    </row>
    <row r="15" spans="1:5" x14ac:dyDescent="0.25">
      <c r="A15" s="15"/>
      <c r="B15" s="15"/>
      <c r="C15" s="15"/>
      <c r="D15" s="15"/>
      <c r="E15" s="15"/>
    </row>
    <row r="16" spans="1:5" x14ac:dyDescent="0.25">
      <c r="A16" s="15"/>
      <c r="B16" s="15"/>
      <c r="C16" s="15"/>
      <c r="D16" s="15"/>
      <c r="E16" s="15"/>
    </row>
    <row r="17" spans="1:5" x14ac:dyDescent="0.25">
      <c r="A17" s="15"/>
      <c r="B17" s="15"/>
      <c r="C17" s="15"/>
      <c r="D17" s="15"/>
      <c r="E17" s="15"/>
    </row>
    <row r="18" spans="1:5" x14ac:dyDescent="0.25">
      <c r="A18" s="15"/>
      <c r="B18" s="15"/>
      <c r="C18" s="15"/>
      <c r="D18" s="15"/>
      <c r="E18" s="15"/>
    </row>
    <row r="19" spans="1:5" x14ac:dyDescent="0.25">
      <c r="A19" s="15"/>
      <c r="B19" s="15"/>
      <c r="C19" s="15"/>
      <c r="D19" s="15"/>
      <c r="E19" s="15"/>
    </row>
    <row r="20" spans="1:5" x14ac:dyDescent="0.25">
      <c r="A20" s="15"/>
      <c r="B20" s="15"/>
      <c r="C20" s="15"/>
      <c r="D20" s="15"/>
      <c r="E20" s="15"/>
    </row>
    <row r="21" spans="1:5" x14ac:dyDescent="0.25">
      <c r="A21" s="15"/>
      <c r="B21" s="15"/>
      <c r="C21" s="15"/>
      <c r="D21" s="15"/>
      <c r="E21" s="15"/>
    </row>
    <row r="22" spans="1:5" x14ac:dyDescent="0.25">
      <c r="A22" s="15"/>
      <c r="B22" s="15"/>
      <c r="C22" s="15"/>
      <c r="D22" s="15"/>
      <c r="E22" s="15"/>
    </row>
    <row r="23" spans="1:5" x14ac:dyDescent="0.25">
      <c r="A23" s="15"/>
      <c r="B23" s="15"/>
      <c r="C23" s="15"/>
      <c r="D23" s="15"/>
      <c r="E23" s="15"/>
    </row>
    <row r="24" spans="1:5" x14ac:dyDescent="0.25">
      <c r="A24" s="15"/>
      <c r="B24" s="15"/>
      <c r="C24" s="15"/>
      <c r="D24" s="15"/>
      <c r="E24" s="15"/>
    </row>
    <row r="25" spans="1:5" x14ac:dyDescent="0.25">
      <c r="A25" s="15"/>
      <c r="B25" s="15"/>
      <c r="C25" s="15"/>
      <c r="D25" s="15"/>
      <c r="E25" s="15"/>
    </row>
    <row r="26" spans="1:5" x14ac:dyDescent="0.25">
      <c r="A26" s="15"/>
      <c r="B26" s="15"/>
      <c r="C26" s="15"/>
      <c r="D26" s="15"/>
      <c r="E26" s="15"/>
    </row>
    <row r="27" spans="1:5" x14ac:dyDescent="0.25">
      <c r="A27" s="15"/>
      <c r="B27" s="15"/>
      <c r="C27" s="15"/>
      <c r="D27" s="15"/>
      <c r="E27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задача2</vt:lpstr>
      <vt:lpstr>Лист3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</dc:creator>
  <cp:lastModifiedBy>Ермошин Максим Александрович</cp:lastModifiedBy>
  <dcterms:created xsi:type="dcterms:W3CDTF">2017-10-09T17:10:49Z</dcterms:created>
  <dcterms:modified xsi:type="dcterms:W3CDTF">2017-11-28T20:48:20Z</dcterms:modified>
</cp:coreProperties>
</file>